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venv\"/>
    </mc:Choice>
  </mc:AlternateContent>
  <xr:revisionPtr revIDLastSave="0" documentId="13_ncr:1_{9624A860-C5FF-408E-ADB9-C592A3FEA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-2025 PRC DATA RECOR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3" i="3" l="1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46" i="3"/>
  <c r="F245" i="3"/>
  <c r="F244" i="3"/>
  <c r="F243" i="3"/>
  <c r="F242" i="3"/>
  <c r="F241" i="3"/>
  <c r="F240" i="3"/>
  <c r="F239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0" i="3"/>
  <c r="F149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<sst xmlns="http://schemas.openxmlformats.org/spreadsheetml/2006/main" count="474" uniqueCount="336">
  <si>
    <t>Pitalco, Carl Joshua</t>
  </si>
  <si>
    <t>Curioso, Marvin Ricafort</t>
  </si>
  <si>
    <t>Enriquez, April Joy nadera</t>
  </si>
  <si>
    <t>Sore, John Carlo Aguado</t>
  </si>
  <si>
    <t>TOTAL RATING</t>
  </si>
  <si>
    <t>YEAR</t>
  </si>
  <si>
    <t>NAMES</t>
  </si>
  <si>
    <t>EE</t>
  </si>
  <si>
    <t>MATH</t>
  </si>
  <si>
    <t>ESAS</t>
  </si>
  <si>
    <t>PASSED / FAILED-RETAKE</t>
  </si>
  <si>
    <t>GWA</t>
  </si>
  <si>
    <t>Abastillas, Roger Morales</t>
  </si>
  <si>
    <t>Almiranez, Marjorie Dela Pena</t>
  </si>
  <si>
    <t>Atendido, Jhon Rez Gloria</t>
  </si>
  <si>
    <t xml:space="preserve">Barba, Rowen Cahayon </t>
  </si>
  <si>
    <t>Cantal, Nicole Ardona</t>
  </si>
  <si>
    <t>Capina, Dhale Andrew Melo</t>
  </si>
  <si>
    <t>Cordero, Kiara Natasha Bermendi</t>
  </si>
  <si>
    <t>Corres, Aira Joyce Sidro</t>
  </si>
  <si>
    <t>Dela Cruz, Justine Kate Villaflores</t>
  </si>
  <si>
    <t>Esguerra, Jhondel Erola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</si>
  <si>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</si>
  <si>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</si>
  <si>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</si>
  <si>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</si>
  <si>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</si>
  <si>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</si>
  <si>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</si>
  <si>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</si>
  <si>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Lustado, Albert Portes</t>
  </si>
  <si>
    <t xml:space="preserve">Madrigallos, Roi Quinto </t>
  </si>
  <si>
    <t>Malihan, Kristalee irish Soriano</t>
  </si>
  <si>
    <t>Manaog, Rommel Almeyda</t>
  </si>
  <si>
    <t>Moog, Kyle Aldrich Ipunla</t>
  </si>
  <si>
    <t>Orno, Arvin Brian Abulencia</t>
  </si>
  <si>
    <t>Palmaria, Rodolfo JR Perlada</t>
  </si>
  <si>
    <t>Quevedo, Remiqoh Seno</t>
  </si>
  <si>
    <t>Remolona, Jessa Katrina Magnaye</t>
  </si>
  <si>
    <t>Rondola, Jeremi Ardales</t>
  </si>
  <si>
    <t>Rubio, Eldrich Florante</t>
  </si>
  <si>
    <t>San Buenaventura, Girlie Iglesia</t>
  </si>
  <si>
    <t>Sanchez, Victor Paolo Lustado</t>
  </si>
  <si>
    <t>Sevilla, Renz Vincent Navela</t>
  </si>
  <si>
    <t>Sioco, Irah Jane Castro</t>
  </si>
  <si>
    <t>Sore, Kenneth Novelo</t>
  </si>
  <si>
    <t>Suria, Airuz Rainier Custodio</t>
  </si>
  <si>
    <t>Tatoy, Kruizzer Dandryxxx Zyrlo</t>
  </si>
  <si>
    <t>Tresvalles, Aleix Ann Cabanas</t>
  </si>
  <si>
    <t>Villasenor, Ian Diasanta</t>
  </si>
  <si>
    <t>Ansay, Cadmiel jaxter Alcoreza</t>
  </si>
  <si>
    <t>FAILED</t>
  </si>
  <si>
    <t>Celeste, Christian Roy Gonzales</t>
  </si>
  <si>
    <t>Cosico, Jemima Articona</t>
  </si>
  <si>
    <t>Dayo, Stepehen Ruz</t>
  </si>
  <si>
    <t>De Pasion, Ruiz Collube</t>
  </si>
  <si>
    <t>Diaz, Jeff Rodriguez</t>
  </si>
  <si>
    <t>Dimaculangan, John Carlo Lat</t>
  </si>
  <si>
    <t>Espena, Ronald Cataga</t>
  </si>
  <si>
    <t>Evero, Philippe Edward Virtudazo</t>
  </si>
  <si>
    <t>Javin, Arrence Edrad</t>
  </si>
  <si>
    <t>Jusay, Jennica Kriziel Leguro</t>
  </si>
  <si>
    <t>Lagdameo, Jonas Christian Balmeo</t>
  </si>
  <si>
    <t>Nido, Raymond Dominic Castro</t>
  </si>
  <si>
    <t>Olarte, Victor III Tellor</t>
  </si>
  <si>
    <t>Penamente, Jesie Jr Malubay</t>
  </si>
  <si>
    <t>Ramos, Jan Calix pena</t>
  </si>
  <si>
    <t>Rejano, John Philip Colen Rosas</t>
  </si>
  <si>
    <t>Sarthou, Renette Krizia Caagbay</t>
  </si>
  <si>
    <t>Sulit, Alberto II Perjes</t>
  </si>
  <si>
    <t>Untalan, Mark Kenneth Calucin</t>
  </si>
  <si>
    <t>Villa, Christopher John Ladera</t>
  </si>
  <si>
    <t>Abadilla, Joseph Lubrica</t>
  </si>
  <si>
    <t>Alpay, Aemond Jepsey Rea</t>
  </si>
  <si>
    <t>Angeles, Lloyd Allen Marbella</t>
  </si>
  <si>
    <t>Buenafrancisca, Jericho Arandia</t>
  </si>
  <si>
    <t>Cabarrubias, Jonard Torres</t>
  </si>
  <si>
    <t>De Villa, Ronald Ryan Ander</t>
  </si>
  <si>
    <t>Dimalaluan, Warren Pana</t>
  </si>
  <si>
    <t>Duenas, Lindley Joyce Salazar</t>
  </si>
  <si>
    <t>Garcia Marjun Fermis</t>
  </si>
  <si>
    <t xml:space="preserve">Hababag, Geselle Silva </t>
  </si>
  <si>
    <t>Morillo, Kevin Maniebo</t>
  </si>
  <si>
    <t>Pintor, Dennise Aumentado</t>
  </si>
  <si>
    <t>Rodillas, Mark Jervin Flores</t>
  </si>
  <si>
    <t>Serrano, Alec Josef Castro</t>
  </si>
  <si>
    <t xml:space="preserve">Sulit, Alberto III Perjes </t>
  </si>
  <si>
    <t>Tolentino, Joshua Aaron Danez</t>
  </si>
  <si>
    <t>Abanes, Christopher Mallari</t>
  </si>
  <si>
    <t>Adan, Gerome James fatagani</t>
  </si>
  <si>
    <t>Aumentado, Pia Supremo</t>
  </si>
  <si>
    <t>Benedicto, Chiara Ebalan</t>
  </si>
  <si>
    <t>Cantara John Christian Yongco</t>
  </si>
  <si>
    <t>Elumba, Gerry Tradio</t>
  </si>
  <si>
    <t>Faraon, Lloyd Mico Derecho</t>
  </si>
  <si>
    <t>Gurango, Alfie</t>
  </si>
  <si>
    <t xml:space="preserve">Herrera, Wilmar Carabot </t>
  </si>
  <si>
    <t>Jaen, Kirk Joshua Mascarina</t>
  </si>
  <si>
    <t>Mendoza, Jayvee Gonzales</t>
  </si>
  <si>
    <t>Mercurio, Ricky Jay Zornosa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</si>
  <si>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</si>
  <si>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</si>
  <si>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</si>
  <si>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</si>
  <si>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</si>
  <si>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</si>
  <si>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</si>
  <si>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</si>
  <si>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</si>
  <si>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</si>
  <si>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Valle, Jansen Ardrich Aurin</t>
  </si>
  <si>
    <t>Valle, John Rich Aurin</t>
  </si>
  <si>
    <t>Villanueva, Charisse Monfero</t>
  </si>
  <si>
    <t>Villanueva, Ronnel Christian De Alba</t>
  </si>
  <si>
    <t>Villarino, Jackie Albitos</t>
  </si>
  <si>
    <t>Aldea, Jennylyn Javier</t>
  </si>
  <si>
    <t>Alvarez, Jhon Harmond Gaufo</t>
  </si>
  <si>
    <t>Alvarez, Oliver Soriano</t>
  </si>
  <si>
    <t>Amper, Christine Angeli Navarro</t>
  </si>
  <si>
    <t>Antonio, Charice Abuyan</t>
  </si>
  <si>
    <t xml:space="preserve">Arcera, Mark Dennis Musico </t>
  </si>
  <si>
    <t>Atendido, Marco Simpron</t>
  </si>
  <si>
    <t>Cabrera, Joyce Permejo</t>
  </si>
  <si>
    <t>Caminero, Reginald Lopez</t>
  </si>
  <si>
    <t>Canzana, Ellysa Luna</t>
  </si>
  <si>
    <t>Caparas, Alyanna Mari FLavier</t>
  </si>
  <si>
    <t>Chavez, Darlyn Baldazo</t>
  </si>
  <si>
    <t>Coronacion, Dave Lenard Romantico</t>
  </si>
  <si>
    <t>Cerdo, Rex Astoveza</t>
  </si>
  <si>
    <t>Cueto, Mary Jayne Rioflorido</t>
  </si>
  <si>
    <t>Gabia, Christine Dapol</t>
  </si>
  <si>
    <t>Guta, John Lloyd Nakar</t>
  </si>
  <si>
    <t xml:space="preserve">Handig, Kimberly Bibonia </t>
  </si>
  <si>
    <t xml:space="preserve">Maladaga, Kim Renz Nerval </t>
  </si>
  <si>
    <t>Manay, Harley Dars Portes</t>
  </si>
  <si>
    <t>Mendoza, Katrina Orfinada</t>
  </si>
  <si>
    <t>Marjilla, Arvin Pitero</t>
  </si>
  <si>
    <t>Napagal, Mark Angelo Muriel</t>
  </si>
  <si>
    <t>Niebres, cyrus Aque</t>
  </si>
  <si>
    <t>Niera, Ma Lorieelyn Escoto</t>
  </si>
  <si>
    <t xml:space="preserve">Padin, Arvy Ronel Terciano </t>
  </si>
  <si>
    <t>Par, Daniela Narito</t>
  </si>
  <si>
    <t>Quirante, Audrey Melca Herrera</t>
  </si>
  <si>
    <t>Sumilang, Wilbert Valdepena</t>
  </si>
  <si>
    <t>Tanganim, Vince Carriaga</t>
  </si>
  <si>
    <t>Tesalona, Charl Justine Candelaria</t>
  </si>
  <si>
    <t>Abuy, Roy Amiel Abuyan</t>
  </si>
  <si>
    <t>Baris, Nazer Mangirapin</t>
  </si>
  <si>
    <t>Bleza, Jovimil Melag</t>
  </si>
  <si>
    <t>Calupig, Jon Bennet Rotagenes</t>
  </si>
  <si>
    <t>Cantos, Jushoa Decena</t>
  </si>
  <si>
    <t>Catapang, Gilbey Clard Red</t>
  </si>
  <si>
    <t>Dator, Emmanuel Josay Placino</t>
  </si>
  <si>
    <t>Dichoso, Joshua Peduca</t>
  </si>
  <si>
    <t>Losloso, Nina Alyssa paala</t>
  </si>
  <si>
    <t xml:space="preserve">Marasigan, Joilea Nina Hutalla </t>
  </si>
  <si>
    <t>Tena, Mary Mae Penamora</t>
  </si>
  <si>
    <t>Tolentino, Ramil Joshua Pblepias</t>
  </si>
  <si>
    <t>Alan, Jay Van Ranuda</t>
  </si>
  <si>
    <t>Maralit, Mariel Zafranco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</si>
  <si>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</si>
  <si>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</si>
  <si>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</si>
  <si>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</si>
  <si>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</si>
  <si>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</si>
  <si>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</si>
  <si>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</si>
  <si>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Abustan, Randell Anoso</t>
  </si>
  <si>
    <t>Africa, Kim erick Uri</t>
  </si>
  <si>
    <t xml:space="preserve">Amat, Erika Aurin </t>
  </si>
  <si>
    <t>Ambas, Devee Libranda</t>
  </si>
  <si>
    <t>Anareta, Paul Andrei Parado</t>
  </si>
  <si>
    <t>Argosino, john Michael Fabricante</t>
  </si>
  <si>
    <t xml:space="preserve">Aril, Kevin Gonzales </t>
  </si>
  <si>
    <t>Atis, Video Cruzat</t>
  </si>
  <si>
    <t>Anonuevo, Jake Tisbe</t>
  </si>
  <si>
    <t>Barbacena, Mark De Guzman</t>
  </si>
  <si>
    <t>Bawica, ronaldo Jr Villasoto</t>
  </si>
  <si>
    <t>Belmil, John Elry Cosejo</t>
  </si>
  <si>
    <t>Bitoon, Omar John Paul Tanedo</t>
  </si>
  <si>
    <t>Blastique, Kathleen Bugtong</t>
  </si>
  <si>
    <t>Caballero, James Angelo Urquiola</t>
  </si>
  <si>
    <t>Cadelino, Kristine Karla Montenegro</t>
  </si>
  <si>
    <t>Carulla, Klint Cedrick Reazo</t>
  </si>
  <si>
    <t>Castillo, Buena Mae Quidor</t>
  </si>
  <si>
    <t>Catapang, Kobe Danton Vergara</t>
  </si>
  <si>
    <t>Coronado, Eric John Abella</t>
  </si>
  <si>
    <t>Crisanto, Alan Yvez Cabuyao</t>
  </si>
  <si>
    <t>Cruzat, Lloyd De Leon</t>
  </si>
  <si>
    <t xml:space="preserve">Dalisay, Adrian Panaligan </t>
  </si>
  <si>
    <t>Dator, Kevin Ratio</t>
  </si>
  <si>
    <t>Daya, Luigee De Alday</t>
  </si>
  <si>
    <t>Danes, Jefferson Palermo</t>
  </si>
  <si>
    <t>De Castro, Rovemell Espiritu</t>
  </si>
  <si>
    <t>De Guzman, John Del Bartolome</t>
  </si>
  <si>
    <t>De Las Alas, Javy Jose Oblea</t>
  </si>
  <si>
    <t xml:space="preserve">De ROsa, John lloyd Cabuyao 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</si>
  <si>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</si>
  <si>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</si>
  <si>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</si>
  <si>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</si>
  <si>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</si>
  <si>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</si>
  <si>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</si>
  <si>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</si>
  <si>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</si>
  <si>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</si>
  <si>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</si>
  <si>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 xml:space="preserve">Mayuga, Jomel Abdon </t>
  </si>
  <si>
    <t>Nantes, Oscar Vincent timbre</t>
  </si>
  <si>
    <t>Obciana, Gemrhon Garcia</t>
  </si>
  <si>
    <t>Oblefias, John Michael Sales</t>
  </si>
  <si>
    <t>Ordillano ,Marcellus Marx Barnes</t>
  </si>
  <si>
    <t>Orig, John Emmanuel Tan</t>
  </si>
  <si>
    <t>Ostan, James Mearz Sales</t>
  </si>
  <si>
    <t>Palapag, Vincent Ryan Velasco</t>
  </si>
  <si>
    <t>Pasco, John Vincent Glory</t>
  </si>
  <si>
    <t>Penamante, Grace Libranda</t>
  </si>
  <si>
    <t>Penamante, Meg Aguilar</t>
  </si>
  <si>
    <t>Purio, John ANdrew Palad</t>
  </si>
  <si>
    <t>Ramos, Jade Panican</t>
  </si>
  <si>
    <t>Ramos, Raymund Raytana</t>
  </si>
  <si>
    <t>Raquel, Christopher Aycardo</t>
  </si>
  <si>
    <t>Raneses, Jea RIca Presas</t>
  </si>
  <si>
    <t>Rojas, emmanuel Avante</t>
  </si>
  <si>
    <t>Saliendra, Edcel John Gaytano</t>
  </si>
  <si>
    <t>Sandoval, Sheena Mae Ravina</t>
  </si>
  <si>
    <t>Silang, John Paul Egamino</t>
  </si>
  <si>
    <t>Torino, Beau Jade Valdez</t>
  </si>
  <si>
    <t>Tutor, Sheila Mae Durante</t>
  </si>
  <si>
    <t>Vasquez, Ronnel Mendoza</t>
  </si>
  <si>
    <t>Verzola, Braynne Kean Elloso</t>
  </si>
  <si>
    <t>Yanoria, Jay Michael Ruz</t>
  </si>
  <si>
    <t>Arceta, Ayecca Jean Heras</t>
  </si>
  <si>
    <t>Arceta, John Daryl Lavado</t>
  </si>
  <si>
    <t>Garcia, Ian Laydia</t>
  </si>
  <si>
    <t>Garica, Kristoffer Batac</t>
  </si>
  <si>
    <t>Lacsa, Judy Ann Licup</t>
  </si>
  <si>
    <t>Merana, Raymond Salloman</t>
  </si>
  <si>
    <t>Nieva, Xzergh Jan Maika Mendelebar</t>
  </si>
  <si>
    <t xml:space="preserve">Pilar, edmar Batugon </t>
  </si>
  <si>
    <t>Remo, Hannah Shane</t>
  </si>
  <si>
    <t>Resplandor, Roel Merana</t>
  </si>
  <si>
    <t xml:space="preserve">Rivera, Maria Maydilyn </t>
  </si>
  <si>
    <t>Seno, Christhon Cada</t>
  </si>
  <si>
    <t>Villapando, Melvin Lamar</t>
  </si>
  <si>
    <t>Abadilla, Vincentt Ferrer Valderamos</t>
  </si>
  <si>
    <t xml:space="preserve">Alcantara, Marylene </t>
  </si>
  <si>
    <t>Fabie, Renzon Francia</t>
  </si>
  <si>
    <t>Jugueta, Laurence Penamante</t>
  </si>
  <si>
    <t xml:space="preserve">Orinday, Joseph Reanzares </t>
  </si>
  <si>
    <t>Sabornido,Troy Padin</t>
  </si>
  <si>
    <t xml:space="preserve">Trinidad, Kurt Chovain </t>
  </si>
  <si>
    <t>Bautista, Gabriel Correa</t>
  </si>
  <si>
    <t>Cataytay, Hans Yuriz Obnillas</t>
  </si>
  <si>
    <t>Gabor mark Kendelle Cana</t>
  </si>
  <si>
    <t>Ramos, Danielle Torres</t>
  </si>
  <si>
    <t>Tena, Mark Sonny Ritual</t>
  </si>
  <si>
    <t>Abella, Arjay Rama</t>
  </si>
  <si>
    <t>Abello, Jasper Ibay</t>
  </si>
  <si>
    <t>Alcaide, Jonel Cabrera</t>
  </si>
  <si>
    <t>Alcoreza, Kathricia Rose Alcala</t>
  </si>
  <si>
    <t>Alimario, John Jeffrey Saripa</t>
  </si>
  <si>
    <t>Alvarez, John mar Penano</t>
  </si>
  <si>
    <t>Anda, Samuel Eroles</t>
  </si>
  <si>
    <t>Andal, Cart Joseph Lavarro</t>
  </si>
  <si>
    <t>Blastique, Kin Lun Bugtong</t>
  </si>
  <si>
    <t>Borja, Janine Nudo</t>
  </si>
  <si>
    <t>Cabanas, Ghezan Loi Ruz</t>
  </si>
  <si>
    <t xml:space="preserve">Dalwampo, Rowvin Angelo Cereno </t>
  </si>
  <si>
    <t>Datos, Ronnel Ilagan</t>
  </si>
  <si>
    <t>De San Andres, Alger Abcede</t>
  </si>
  <si>
    <t>Duria, Ian Janry Cosejo</t>
  </si>
  <si>
    <t>Garcia, Kayla Bautista</t>
  </si>
  <si>
    <t>Garcia, Wendyl Vito</t>
  </si>
  <si>
    <t>Gutierrez, Rojohn Dome Glorioso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</si>
  <si>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</si>
  <si>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</si>
  <si>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</si>
  <si>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</si>
  <si>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</si>
  <si>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</si>
  <si>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</si>
  <si>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</si>
  <si>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</si>
  <si>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</si>
  <si>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</si>
  <si>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Ponce, Denzel Tatad</t>
  </si>
  <si>
    <t>Rea, Gracielle Arcilla</t>
  </si>
  <si>
    <t>Reanzares, Camela mae Abadicio</t>
  </si>
  <si>
    <t xml:space="preserve">Romero, Cedrick Ramos </t>
  </si>
  <si>
    <t>Vallejo, Ian Christopher Ladines</t>
  </si>
  <si>
    <t>Villanueva, Kate Ann Joy Diasanta</t>
  </si>
  <si>
    <t>Vito, Aaron Junovan Pacalda</t>
  </si>
  <si>
    <t>Yaco, Vincent Laurence Llaneta</t>
  </si>
  <si>
    <t>Abuel, Lordwin Bojelador</t>
  </si>
  <si>
    <t>Bang-Asan, Azer Parago</t>
  </si>
  <si>
    <t>Brinosa, Marc Paulo Saez</t>
  </si>
  <si>
    <t>Buhat, Mark Anthony Delos Reyes</t>
  </si>
  <si>
    <t>Cabile, Renzon Zarsuelo</t>
  </si>
  <si>
    <t>Cortez, Clarence Rolle</t>
  </si>
  <si>
    <t>De Leon, Katrina Vianney Romulo</t>
  </si>
  <si>
    <t xml:space="preserve">Estrope, Arcel Amican </t>
  </si>
  <si>
    <t>Fabrez, Gabirel Mostrera</t>
  </si>
  <si>
    <t>Guevarra, Carl Edward Delos Reyes</t>
  </si>
  <si>
    <t xml:space="preserve">Leovido, Charlene Mayores </t>
  </si>
  <si>
    <t>Malicdem, Juslaine Kae Balboa</t>
  </si>
  <si>
    <t>Menorca, Chariz Sarah Macabacyao</t>
  </si>
  <si>
    <t>Obando, Lara Jane Almirez</t>
  </si>
  <si>
    <t>Oriasel, Leah Edzel Vidal</t>
  </si>
  <si>
    <t>Pabellano, Jamaica Mae cada</t>
  </si>
  <si>
    <t>Papiona, Rodel Labudlay</t>
  </si>
  <si>
    <t>Ramos, Ynah Laden Marasigan</t>
  </si>
  <si>
    <t>Rey, Edrian Basas</t>
  </si>
  <si>
    <t>Serdena, Jonel Puerta</t>
  </si>
  <si>
    <t>Topaz, John Godwill Fontanilla</t>
  </si>
  <si>
    <t>Toribio, Alexandrine Basubas</t>
  </si>
  <si>
    <t>Apolinario, John Philip Lugo</t>
  </si>
  <si>
    <t xml:space="preserve">Ariento, Joan Remo </t>
  </si>
  <si>
    <t>Buerano, Reden Roces</t>
  </si>
  <si>
    <t>Buhat, Mark anthony delos Reyes</t>
  </si>
  <si>
    <t xml:space="preserve">Cabile, Renzon Zarsuelo 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</si>
  <si>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</si>
  <si>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</si>
  <si>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</si>
  <si>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</si>
  <si>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</si>
  <si>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</si>
  <si>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 xml:space="preserve">Merana, Raymond Salloman </t>
  </si>
  <si>
    <t>Mercado, Charles Derick Perina</t>
  </si>
  <si>
    <t xml:space="preserve">Papiona, Rodel Labudlay </t>
  </si>
  <si>
    <t xml:space="preserve">Penamora, Pamela Perez </t>
  </si>
  <si>
    <t>Ramores, Edsekiel Escobanas</t>
  </si>
  <si>
    <t>Rosende, John Lloyd Ramos</t>
  </si>
  <si>
    <t>Salvador, Moises Jeheil Polecina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</si>
</sst>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67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30">
    <tableStyle name="SURVEY RESULTS-style" pivot="0" count="4" xr9:uid="{00000000-0011-0000-FFFF-FFFF00000000}">
      <tableStyleElement type="wholeTable" size="0" dxfId="666"/>
      <tableStyleElement type="headerRow" dxfId="669"/>
      <tableStyleElement type="firstRowStripe" dxfId="668"/>
      <tableStyleElement type="secondRowStripe" dxfId="667"/>
    </tableStyle>
    <tableStyle name="2022 -2025 PRC DATA RECORD-style" pivot="0" count="2" xr9:uid="{00000000-0011-0000-FFFF-FFFF01000000}">
      <tableStyleElement type="firstRowStripe" dxfId="665"/>
      <tableStyleElement type="secondRowStripe" dxfId="664"/>
    </tableStyle>
    <tableStyle name="2022 -2025 PRC DATA RECORD-style 2" pivot="0" count="2" xr9:uid="{00000000-0011-0000-FFFF-FFFF02000000}">
      <tableStyleElement type="firstRowStripe" dxfId="663"/>
      <tableStyleElement type="secondRowStripe" dxfId="662"/>
    </tableStyle>
    <tableStyle name="2022 -2025 PRC DATA RECORD-style 3" pivot="0" count="2" xr9:uid="{00000000-0011-0000-FFFF-FFFF03000000}">
      <tableStyleElement type="firstRowStripe" dxfId="661"/>
      <tableStyleElement type="secondRowStripe" dxfId="660"/>
    </tableStyle>
    <tableStyle name="2022 -2025 PRC DATA RECORD-style 4" pivot="0" count="2" xr9:uid="{00000000-0011-0000-FFFF-FFFF04000000}">
      <tableStyleElement type="firstRowStripe" dxfId="659"/>
      <tableStyleElement type="secondRowStripe" dxfId="658"/>
    </tableStyle>
    <tableStyle name="2022 -2025 PRC DATA RECORD-style 5" pivot="0" count="2" xr9:uid="{00000000-0011-0000-FFFF-FFFF05000000}">
      <tableStyleElement type="firstRowStripe" dxfId="657"/>
      <tableStyleElement type="secondRowStripe" dxfId="656"/>
    </tableStyle>
    <tableStyle name="2022 -2025 PRC DATA RECORD-style 6" pivot="0" count="2" xr9:uid="{00000000-0011-0000-FFFF-FFFF06000000}">
      <tableStyleElement type="firstRowStripe" dxfId="655"/>
      <tableStyleElement type="secondRowStripe" dxfId="654"/>
    </tableStyle>
    <tableStyle name="2022 -2025 PRC DATA RECORD-style 7" pivot="0" count="2" xr9:uid="{00000000-0011-0000-FFFF-FFFF07000000}">
      <tableStyleElement type="firstRowStripe" dxfId="653"/>
      <tableStyleElement type="secondRowStripe" dxfId="652"/>
    </tableStyle>
    <tableStyle name="2022 -2025 PRC DATA RECORD-style 8" pivot="0" count="2" xr9:uid="{00000000-0011-0000-FFFF-FFFF08000000}">
      <tableStyleElement type="firstRowStripe" dxfId="651"/>
      <tableStyleElement type="secondRowStripe" dxfId="650"/>
    </tableStyle>
    <tableStyle name="2022 -2025 PRC DATA RECORD-style 9" pivot="0" count="2" xr9:uid="{00000000-0011-0000-FFFF-FFFF09000000}">
      <tableStyleElement type="firstRowStripe" dxfId="649"/>
      <tableStyleElement type="secondRowStripe" dxfId="648"/>
    </tableStyle>
    <tableStyle name="2022 -2025 PRC DATA RECORD-style 10" pivot="0" count="2" xr9:uid="{00000000-0011-0000-FFFF-FFFF0A000000}">
      <tableStyleElement type="firstRowStripe" dxfId="647"/>
      <tableStyleElement type="secondRowStripe" dxfId="646"/>
    </tableStyle>
    <tableStyle name="2022 -2025 PRC DATA RECORD-style 11" pivot="0" count="2" xr9:uid="{00000000-0011-0000-FFFF-FFFF0B000000}">
      <tableStyleElement type="firstRowStripe" dxfId="645"/>
      <tableStyleElement type="secondRowStripe" dxfId="644"/>
    </tableStyle>
    <tableStyle name="2022 -2025 PRC DATA RECORD-style 12" pivot="0" count="2" xr9:uid="{00000000-0011-0000-FFFF-FFFF0C000000}">
      <tableStyleElement type="firstRowStripe" dxfId="643"/>
      <tableStyleElement type="secondRowStripe" dxfId="642"/>
    </tableStyle>
    <tableStyle name="2022 -2025 PRC DATA RECORD-style 13" pivot="0" count="2" xr9:uid="{00000000-0011-0000-FFFF-FFFF0D000000}">
      <tableStyleElement type="firstRowStripe" dxfId="641"/>
      <tableStyleElement type="secondRowStripe" dxfId="640"/>
    </tableStyle>
    <tableStyle name="2022 -2025 PRC DATA RECORD-style 14" pivot="0" count="2" xr9:uid="{00000000-0011-0000-FFFF-FFFF0E000000}">
      <tableStyleElement type="firstRowStripe" dxfId="639"/>
      <tableStyleElement type="secondRowStripe" dxfId="638"/>
    </tableStyle>
    <tableStyle name="2022 -2025 PRC DATA RECORD-style 15" pivot="0" count="2" xr9:uid="{00000000-0011-0000-FFFF-FFFF0F000000}">
      <tableStyleElement type="firstRowStripe" dxfId="637"/>
      <tableStyleElement type="secondRowStripe" dxfId="636"/>
    </tableStyle>
    <tableStyle name="2022 -2025 PRC DATA RECORD-style 16" pivot="0" count="2" xr9:uid="{00000000-0011-0000-FFFF-FFFF10000000}">
      <tableStyleElement type="firstRowStripe" dxfId="635"/>
      <tableStyleElement type="secondRowStripe" dxfId="634"/>
    </tableStyle>
    <tableStyle name="2022 -2025 PRC DATA RECORD-style 17" pivot="0" count="2" xr9:uid="{00000000-0011-0000-FFFF-FFFF11000000}">
      <tableStyleElement type="firstRowStripe" dxfId="633"/>
      <tableStyleElement type="secondRowStripe" dxfId="632"/>
    </tableStyle>
    <tableStyle name="2022 -2025 PRC DATA RECORD-style 18" pivot="0" count="2" xr9:uid="{00000000-0011-0000-FFFF-FFFF12000000}">
      <tableStyleElement type="firstRowStripe" dxfId="631"/>
      <tableStyleElement type="secondRowStripe" dxfId="630"/>
    </tableStyle>
    <tableStyle name="2022 -2025 PRC DATA RECORD-style 19" pivot="0" count="2" xr9:uid="{00000000-0011-0000-FFFF-FFFF13000000}">
      <tableStyleElement type="firstRowStripe" dxfId="629"/>
      <tableStyleElement type="secondRowStripe" dxfId="628"/>
    </tableStyle>
    <tableStyle name="2022 -2025 PRC DATA RECORD-style 20" pivot="0" count="2" xr9:uid="{00000000-0011-0000-FFFF-FFFF14000000}">
      <tableStyleElement type="firstRowStripe" dxfId="627"/>
      <tableStyleElement type="secondRowStripe" dxfId="626"/>
    </tableStyle>
    <tableStyle name="2022 -2025 PRC DATA RECORD-style 21" pivot="0" count="2" xr9:uid="{00000000-0011-0000-FFFF-FFFF15000000}">
      <tableStyleElement type="firstRowStripe" dxfId="625"/>
      <tableStyleElement type="secondRowStripe" dxfId="624"/>
    </tableStyle>
    <tableStyle name="2022 -2025 PRC DATA RECORD-style 22" pivot="0" count="2" xr9:uid="{00000000-0011-0000-FFFF-FFFF16000000}">
      <tableStyleElement type="firstRowStripe" dxfId="623"/>
      <tableStyleElement type="secondRowStripe" dxfId="622"/>
    </tableStyle>
    <tableStyle name="2022 -2025 PRC DATA RECORD-style 23" pivot="0" count="2" xr9:uid="{00000000-0011-0000-FFFF-FFFF17000000}">
      <tableStyleElement type="firstRowStripe" dxfId="621"/>
      <tableStyleElement type="secondRowStripe" dxfId="620"/>
    </tableStyle>
    <tableStyle name="2022 -2025 PRC DATA RECORD-style 24" pivot="0" count="2" xr9:uid="{00000000-0011-0000-FFFF-FFFF18000000}">
      <tableStyleElement type="firstRowStripe" dxfId="619"/>
      <tableStyleElement type="secondRowStripe" dxfId="618"/>
    </tableStyle>
    <tableStyle name="2022 -2025 PRC DATA RECORD-style 25" pivot="0" count="2" xr9:uid="{00000000-0011-0000-FFFF-FFFF19000000}">
      <tableStyleElement type="firstRowStripe" dxfId="617"/>
      <tableStyleElement type="secondRowStripe" dxfId="616"/>
    </tableStyle>
    <tableStyle name="DATA_MODEL-style" pivot="0" count="4" xr9:uid="{00000000-0011-0000-FFFF-FFFF1A000000}">
      <tableStyleElement type="wholeTable" size="0" dxfId="612"/>
      <tableStyleElement type="headerRow" dxfId="615"/>
      <tableStyleElement type="firstRowStripe" dxfId="614"/>
      <tableStyleElement type="secondRowStripe" dxfId="613"/>
    </tableStyle>
    <tableStyle name="DATA_MODEL-style 2" pivot="0" count="2" xr9:uid="{00000000-0011-0000-FFFF-FFFF1B000000}">
      <tableStyleElement type="firstRowStripe" dxfId="611"/>
      <tableStyleElement type="secondRowStripe" dxfId="610"/>
    </tableStyle>
    <tableStyle name="DATA_MODEL-style 3" pivot="0" count="2" xr9:uid="{00000000-0011-0000-FFFF-FFFF1C000000}">
      <tableStyleElement type="firstRowStripe" dxfId="609"/>
      <tableStyleElement type="secondRowStripe" dxfId="608"/>
    </tableStyle>
    <tableStyle name="DATA_MODEL-style 4" pivot="0" count="2" xr9:uid="{00000000-0011-0000-FFFF-FFFF1D000000}">
      <tableStyleElement type="firstRowStripe" dxfId="607"/>
      <tableStyleElement type="secondRowStripe" dxfId="606"/>
    </tableStyle>
    <tableStyle name="DATA_MODEL-style 5" pivot="0" count="2" xr9:uid="{00000000-0011-0000-FFFF-FFFF1E000000}">
      <tableStyleElement type="firstRowStripe" dxfId="605"/>
      <tableStyleElement type="secondRowStripe" dxfId="604"/>
    </tableStyle>
    <tableStyle name="DATA_MODEL-style 6" pivot="0" count="2" xr9:uid="{00000000-0011-0000-FFFF-FFFF1F000000}">
      <tableStyleElement type="firstRowStripe" dxfId="603"/>
      <tableStyleElement type="secondRowStripe" dxfId="602"/>
    </tableStyle>
    <tableStyle name="DATA_MODEL-style 7" pivot="0" count="2" xr9:uid="{00000000-0011-0000-FFFF-FFFF20000000}">
      <tableStyleElement type="firstRowStripe" dxfId="601"/>
      <tableStyleElement type="secondRowStripe" dxfId="600"/>
    </tableStyle>
    <tableStyle name="DATA_MODEL-style 8" pivot="0" count="2" xr9:uid="{00000000-0011-0000-FFFF-FFFF21000000}">
      <tableStyleElement type="firstRowStripe" dxfId="599"/>
      <tableStyleElement type="secondRowStripe" dxfId="598"/>
    </tableStyle>
    <tableStyle name="DATA_MODEL-style 9" pivot="0" count="2" xr9:uid="{00000000-0011-0000-FFFF-FFFF22000000}">
      <tableStyleElement type="firstRowStripe" dxfId="597"/>
      <tableStyleElement type="secondRowStripe" dxfId="596"/>
    </tableStyle>
    <tableStyle name="DATA_MODEL-style 10" pivot="0" count="2" xr9:uid="{00000000-0011-0000-FFFF-FFFF23000000}">
      <tableStyleElement type="firstRowStripe" dxfId="595"/>
      <tableStyleElement type="secondRowStripe" dxfId="594"/>
    </tableStyle>
    <tableStyle name="DATA_MODEL-style 11" pivot="0" count="2" xr9:uid="{00000000-0011-0000-FFFF-FFFF24000000}">
      <tableStyleElement type="firstRowStripe" dxfId="593"/>
      <tableStyleElement type="secondRowStripe" dxfId="592"/>
    </tableStyle>
    <tableStyle name="DATA_MODEL-style 12" pivot="0" count="2" xr9:uid="{00000000-0011-0000-FFFF-FFFF25000000}">
      <tableStyleElement type="firstRowStripe" dxfId="591"/>
      <tableStyleElement type="secondRowStripe" dxfId="590"/>
    </tableStyle>
    <tableStyle name="DATA_MODEL-style 13" pivot="0" count="2" xr9:uid="{00000000-0011-0000-FFFF-FFFF26000000}">
      <tableStyleElement type="firstRowStripe" dxfId="589"/>
      <tableStyleElement type="secondRowStripe" dxfId="588"/>
    </tableStyle>
    <tableStyle name="DATA_MODEL-style 14" pivot="0" count="2" xr9:uid="{00000000-0011-0000-FFFF-FFFF27000000}">
      <tableStyleElement type="firstRowStripe" dxfId="587"/>
      <tableStyleElement type="secondRowStripe" dxfId="586"/>
    </tableStyle>
    <tableStyle name="DATA_MODEL-style 15" pivot="0" count="2" xr9:uid="{00000000-0011-0000-FFFF-FFFF28000000}">
      <tableStyleElement type="firstRowStripe" dxfId="585"/>
      <tableStyleElement type="secondRowStripe" dxfId="584"/>
    </tableStyle>
    <tableStyle name="DATA_MODEL-style 16" pivot="0" count="2" xr9:uid="{00000000-0011-0000-FFFF-FFFF29000000}">
      <tableStyleElement type="firstRowStripe" dxfId="583"/>
      <tableStyleElement type="secondRowStripe" dxfId="582"/>
    </tableStyle>
    <tableStyle name="DATA_MODEL-style 17" pivot="0" count="2" xr9:uid="{00000000-0011-0000-FFFF-FFFF2A000000}">
      <tableStyleElement type="firstRowStripe" dxfId="581"/>
      <tableStyleElement type="secondRowStripe" dxfId="580"/>
    </tableStyle>
    <tableStyle name="DATA_MODEL-style 18" pivot="0" count="2" xr9:uid="{00000000-0011-0000-FFFF-FFFF2B000000}">
      <tableStyleElement type="firstRowStripe" dxfId="579"/>
      <tableStyleElement type="secondRowStripe" dxfId="578"/>
    </tableStyle>
    <tableStyle name="DATA_MODEL-style 19" pivot="0" count="2" xr9:uid="{00000000-0011-0000-FFFF-FFFF2C000000}">
      <tableStyleElement type="firstRowStripe" dxfId="577"/>
      <tableStyleElement type="secondRowStripe" dxfId="576"/>
    </tableStyle>
    <tableStyle name="DATA_MODEL-style 20" pivot="0" count="2" xr9:uid="{00000000-0011-0000-FFFF-FFFF2D000000}">
      <tableStyleElement type="firstRowStripe" dxfId="575"/>
      <tableStyleElement type="secondRowStripe" dxfId="574"/>
    </tableStyle>
    <tableStyle name="DATA_MODEL-style 21" pivot="0" count="2" xr9:uid="{00000000-0011-0000-FFFF-FFFF2E000000}">
      <tableStyleElement type="firstRowStripe" dxfId="573"/>
      <tableStyleElement type="secondRowStripe" dxfId="572"/>
    </tableStyle>
    <tableStyle name="DATA_MODEL-style 22" pivot="0" count="2" xr9:uid="{00000000-0011-0000-FFFF-FFFF2F000000}">
      <tableStyleElement type="firstRowStripe" dxfId="571"/>
      <tableStyleElement type="secondRowStripe" dxfId="570"/>
    </tableStyle>
    <tableStyle name="DATA_MODEL-style 23" pivot="0" count="2" xr9:uid="{00000000-0011-0000-FFFF-FFFF30000000}">
      <tableStyleElement type="firstRowStripe" dxfId="569"/>
      <tableStyleElement type="secondRowStripe" dxfId="568"/>
    </tableStyle>
    <tableStyle name="DATA_MODEL-style 24" pivot="0" count="2" xr9:uid="{00000000-0011-0000-FFFF-FFFF31000000}">
      <tableStyleElement type="firstRowStripe" dxfId="567"/>
      <tableStyleElement type="secondRowStripe" dxfId="566"/>
    </tableStyle>
    <tableStyle name="DATA_MODEL-style 25" pivot="0" count="2" xr9:uid="{00000000-0011-0000-FFFF-FFFF32000000}">
      <tableStyleElement type="firstRowStripe" dxfId="565"/>
      <tableStyleElement type="secondRowStripe" dxfId="564"/>
    </tableStyle>
    <tableStyle name="DATA_MODEL-style 26" pivot="0" count="2" xr9:uid="{00000000-0011-0000-FFFF-FFFF33000000}">
      <tableStyleElement type="firstRowStripe" dxfId="563"/>
      <tableStyleElement type="secondRowStripe" dxfId="562"/>
    </tableStyle>
    <tableStyle name="DATA_MODEL-style 27" pivot="0" count="2" xr9:uid="{00000000-0011-0000-FFFF-FFFF34000000}">
      <tableStyleElement type="firstRowStripe" dxfId="561"/>
      <tableStyleElement type="secondRowStripe" dxfId="560"/>
    </tableStyle>
    <tableStyle name="DATA_MODEL-style 28" pivot="0" count="2" xr9:uid="{00000000-0011-0000-FFFF-FFFF35000000}">
      <tableStyleElement type="firstRowStripe" dxfId="559"/>
      <tableStyleElement type="secondRowStripe" dxfId="558"/>
    </tableStyle>
    <tableStyle name="DATA_MODEL-style 29" pivot="0" count="2" xr9:uid="{00000000-0011-0000-FFFF-FFFF36000000}">
      <tableStyleElement type="firstRowStripe" dxfId="557"/>
      <tableStyleElement type="secondRowStripe" dxfId="556"/>
    </tableStyle>
    <tableStyle name="DATA_MODEL-style 30" pivot="0" count="2" xr9:uid="{00000000-0011-0000-FFFF-FFFF37000000}">
      <tableStyleElement type="firstRowStripe" dxfId="555"/>
      <tableStyleElement type="secondRowStripe" dxfId="554"/>
    </tableStyle>
    <tableStyle name="DATA_MODEL-style 31" pivot="0" count="2" xr9:uid="{00000000-0011-0000-FFFF-FFFF38000000}">
      <tableStyleElement type="firstRowStripe" dxfId="553"/>
      <tableStyleElement type="secondRowStripe" dxfId="552"/>
    </tableStyle>
    <tableStyle name="DATA_MODEL-style 32" pivot="0" count="2" xr9:uid="{00000000-0011-0000-FFFF-FFFF39000000}">
      <tableStyleElement type="firstRowStripe" dxfId="551"/>
      <tableStyleElement type="secondRowStripe" dxfId="550"/>
    </tableStyle>
    <tableStyle name="DATA_MODEL-style 33" pivot="0" count="2" xr9:uid="{00000000-0011-0000-FFFF-FFFF3A000000}">
      <tableStyleElement type="firstRowStripe" dxfId="549"/>
      <tableStyleElement type="secondRowStripe" dxfId="548"/>
    </tableStyle>
    <tableStyle name="DATA_MODEL-style 34" pivot="0" count="2" xr9:uid="{00000000-0011-0000-FFFF-FFFF3B000000}">
      <tableStyleElement type="firstRowStripe" dxfId="547"/>
      <tableStyleElement type="secondRowStripe" dxfId="546"/>
    </tableStyle>
    <tableStyle name="DATA_MODEL-style 35" pivot="0" count="2" xr9:uid="{00000000-0011-0000-FFFF-FFFF3C000000}">
      <tableStyleElement type="firstRowStripe" dxfId="545"/>
      <tableStyleElement type="secondRowStripe" dxfId="544"/>
    </tableStyle>
    <tableStyle name="DATA_MODEL-style 36" pivot="0" count="2" xr9:uid="{00000000-0011-0000-FFFF-FFFF3D000000}">
      <tableStyleElement type="firstRowStripe" dxfId="543"/>
      <tableStyleElement type="secondRowStripe" dxfId="542"/>
    </tableStyle>
    <tableStyle name="DATA_MODEL-style 37" pivot="0" count="2" xr9:uid="{00000000-0011-0000-FFFF-FFFF3E000000}">
      <tableStyleElement type="firstRowStripe" dxfId="541"/>
      <tableStyleElement type="secondRowStripe" dxfId="540"/>
    </tableStyle>
    <tableStyle name="DATA_MODEL-style 38" pivot="0" count="2" xr9:uid="{00000000-0011-0000-FFFF-FFFF3F000000}">
      <tableStyleElement type="firstRowStripe" dxfId="539"/>
      <tableStyleElement type="secondRowStripe" dxfId="538"/>
    </tableStyle>
    <tableStyle name="DATA_MODEL-style 39" pivot="0" count="2" xr9:uid="{00000000-0011-0000-FFFF-FFFF40000000}">
      <tableStyleElement type="firstRowStripe" dxfId="537"/>
      <tableStyleElement type="secondRowStripe" dxfId="536"/>
    </tableStyle>
    <tableStyle name="DATA_MODEL-style 40" pivot="0" count="2" xr9:uid="{00000000-0011-0000-FFFF-FFFF41000000}">
      <tableStyleElement type="firstRowStripe" dxfId="535"/>
      <tableStyleElement type="secondRowStripe" dxfId="534"/>
    </tableStyle>
    <tableStyle name="DATA_MODEL-style 41" pivot="0" count="2" xr9:uid="{00000000-0011-0000-FFFF-FFFF42000000}">
      <tableStyleElement type="firstRowStripe" dxfId="533"/>
      <tableStyleElement type="secondRowStripe" dxfId="532"/>
    </tableStyle>
    <tableStyle name="DATA_MODEL-style 42" pivot="0" count="2" xr9:uid="{00000000-0011-0000-FFFF-FFFF43000000}">
      <tableStyleElement type="firstRowStripe" dxfId="531"/>
      <tableStyleElement type="secondRowStripe" dxfId="530"/>
    </tableStyle>
    <tableStyle name="DATA_EVALUATION-style" pivot="0" count="4" xr9:uid="{00000000-0011-0000-FFFF-FFFF44000000}">
      <tableStyleElement type="wholeTable" size="0" dxfId="526"/>
      <tableStyleElement type="headerRow" dxfId="529"/>
      <tableStyleElement type="firstRowStripe" dxfId="528"/>
      <tableStyleElement type="secondRowStripe" dxfId="527"/>
    </tableStyle>
    <tableStyle name="DATA_EVALUATION-style 2" pivot="0" count="2" xr9:uid="{00000000-0011-0000-FFFF-FFFF45000000}">
      <tableStyleElement type="firstRowStripe" dxfId="525"/>
      <tableStyleElement type="secondRowStripe" dxfId="524"/>
    </tableStyle>
    <tableStyle name="DATA_EVALUATION-style 3" pivot="0" count="2" xr9:uid="{00000000-0011-0000-FFFF-FFFF46000000}">
      <tableStyleElement type="firstRowStripe" dxfId="523"/>
      <tableStyleElement type="secondRowStripe" dxfId="522"/>
    </tableStyle>
    <tableStyle name="DATA_EVALUATION-style 4" pivot="0" count="2" xr9:uid="{00000000-0011-0000-FFFF-FFFF47000000}">
      <tableStyleElement type="firstRowStripe" dxfId="521"/>
      <tableStyleElement type="secondRowStripe" dxfId="520"/>
    </tableStyle>
    <tableStyle name="DATA_EVALUATION-style 5" pivot="0" count="2" xr9:uid="{00000000-0011-0000-FFFF-FFFF48000000}">
      <tableStyleElement type="firstRowStripe" dxfId="519"/>
      <tableStyleElement type="secondRowStripe" dxfId="518"/>
    </tableStyle>
    <tableStyle name="DATA_EVALUATION-style 6" pivot="0" count="2" xr9:uid="{00000000-0011-0000-FFFF-FFFF49000000}">
      <tableStyleElement type="firstRowStripe" dxfId="517"/>
      <tableStyleElement type="secondRowStripe" dxfId="516"/>
    </tableStyle>
    <tableStyle name="DATA_DRAFT (MODEL)-style" pivot="0" count="4" xr9:uid="{00000000-0011-0000-FFFF-FFFF4A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MODEL)-style 2" pivot="0" count="2" xr9:uid="{00000000-0011-0000-FFFF-FFFF4B000000}">
      <tableStyleElement type="firstRowStripe" dxfId="511"/>
      <tableStyleElement type="secondRowStripe" dxfId="510"/>
    </tableStyle>
    <tableStyle name="DATA_DRAFT (MODEL)-style 3" pivot="0" count="2" xr9:uid="{00000000-0011-0000-FFFF-FFFF4C000000}">
      <tableStyleElement type="firstRowStripe" dxfId="509"/>
      <tableStyleElement type="secondRowStripe" dxfId="508"/>
    </tableStyle>
    <tableStyle name="DATA_DRAFT (MODEL)-style 4" pivot="0" count="2" xr9:uid="{00000000-0011-0000-FFFF-FFFF4D000000}">
      <tableStyleElement type="firstRowStripe" dxfId="507"/>
      <tableStyleElement type="secondRowStripe" dxfId="506"/>
    </tableStyle>
    <tableStyle name="DATA_DRAFT (MODEL)-style 5" pivot="0" count="2" xr9:uid="{00000000-0011-0000-FFFF-FFFF4E000000}">
      <tableStyleElement type="firstRowStripe" dxfId="505"/>
      <tableStyleElement type="secondRowStripe" dxfId="504"/>
    </tableStyle>
    <tableStyle name="DATA_DRAFT (MODEL)-style 6" pivot="0" count="2" xr9:uid="{00000000-0011-0000-FFFF-FFFF4F000000}">
      <tableStyleElement type="firstRowStripe" dxfId="503"/>
      <tableStyleElement type="secondRowStripe" dxfId="502"/>
    </tableStyle>
    <tableStyle name="DATA_DRAFT (MODEL)-style 7" pivot="0" count="2" xr9:uid="{00000000-0011-0000-FFFF-FFFF50000000}">
      <tableStyleElement type="firstRowStripe" dxfId="501"/>
      <tableStyleElement type="secondRowStripe" dxfId="500"/>
    </tableStyle>
    <tableStyle name="DATA_DRAFT (MODEL)-style 8" pivot="0" count="2" xr9:uid="{00000000-0011-0000-FFFF-FFFF51000000}">
      <tableStyleElement type="firstRowStripe" dxfId="499"/>
      <tableStyleElement type="secondRowStripe" dxfId="498"/>
    </tableStyle>
    <tableStyle name="DATA_DRAFT (MODEL)-style 9" pivot="0" count="2" xr9:uid="{00000000-0011-0000-FFFF-FFFF52000000}">
      <tableStyleElement type="firstRowStripe" dxfId="497"/>
      <tableStyleElement type="secondRowStripe" dxfId="496"/>
    </tableStyle>
    <tableStyle name="DATA_DRAFT (MODEL)-style 10" pivot="0" count="2" xr9:uid="{00000000-0011-0000-FFFF-FFFF53000000}">
      <tableStyleElement type="firstRowStripe" dxfId="495"/>
      <tableStyleElement type="secondRowStripe" dxfId="494"/>
    </tableStyle>
    <tableStyle name="DATA_DRAFT (MODEL)-style 11" pivot="0" count="2" xr9:uid="{00000000-0011-0000-FFFF-FFFF54000000}">
      <tableStyleElement type="firstRowStripe" dxfId="493"/>
      <tableStyleElement type="secondRowStripe" dxfId="492"/>
    </tableStyle>
    <tableStyle name="DATA_DRAFT (MODEL)-style 12" pivot="0" count="2" xr9:uid="{00000000-0011-0000-FFFF-FFFF55000000}">
      <tableStyleElement type="firstRowStripe" dxfId="491"/>
      <tableStyleElement type="secondRowStripe" dxfId="490"/>
    </tableStyle>
    <tableStyle name="DATA_DRAFT (MODEL)-style 13" pivot="0" count="2" xr9:uid="{00000000-0011-0000-FFFF-FFFF56000000}">
      <tableStyleElement type="firstRowStripe" dxfId="489"/>
      <tableStyleElement type="secondRowStripe" dxfId="488"/>
    </tableStyle>
    <tableStyle name="DATA_DRAFT (MODEL)-style 14" pivot="0" count="2" xr9:uid="{00000000-0011-0000-FFFF-FFFF57000000}">
      <tableStyleElement type="firstRowStripe" dxfId="487"/>
      <tableStyleElement type="secondRowStripe" dxfId="486"/>
    </tableStyle>
    <tableStyle name="DATA_DRAFT (MODEL)-style 15" pivot="0" count="2" xr9:uid="{00000000-0011-0000-FFFF-FFFF58000000}">
      <tableStyleElement type="firstRowStripe" dxfId="485"/>
      <tableStyleElement type="secondRowStripe" dxfId="484"/>
    </tableStyle>
    <tableStyle name="DATA_DRAFT (MODEL)-style 16" pivot="0" count="2" xr9:uid="{00000000-0011-0000-FFFF-FFFF59000000}">
      <tableStyleElement type="firstRowStripe" dxfId="483"/>
      <tableStyleElement type="secondRowStripe" dxfId="482"/>
    </tableStyle>
    <tableStyle name="DATA_DRAFT (MODEL)-style 17" pivot="0" count="2" xr9:uid="{00000000-0011-0000-FFFF-FFFF5A000000}">
      <tableStyleElement type="firstRowStripe" dxfId="481"/>
      <tableStyleElement type="secondRowStripe" dxfId="480"/>
    </tableStyle>
    <tableStyle name="DATA_DRAFT (MODEL)-style 18" pivot="0" count="2" xr9:uid="{00000000-0011-0000-FFFF-FFFF5B000000}">
      <tableStyleElement type="firstRowStripe" dxfId="479"/>
      <tableStyleElement type="secondRowStripe" dxfId="478"/>
    </tableStyle>
    <tableStyle name="DATA_DRAFT (MODEL)-style 19" pivot="0" count="2" xr9:uid="{00000000-0011-0000-FFFF-FFFF5C000000}">
      <tableStyleElement type="firstRowStripe" dxfId="477"/>
      <tableStyleElement type="secondRowStripe" dxfId="476"/>
    </tableStyle>
    <tableStyle name="DATA_DRAFT (MODEL)-style 20" pivot="0" count="2" xr9:uid="{00000000-0011-0000-FFFF-FFFF5D000000}">
      <tableStyleElement type="firstRowStripe" dxfId="475"/>
      <tableStyleElement type="secondRowStripe" dxfId="474"/>
    </tableStyle>
    <tableStyle name="DATA_DRAFT (MODEL)-style 21" pivot="0" count="2" xr9:uid="{00000000-0011-0000-FFFF-FFFF5E000000}">
      <tableStyleElement type="firstRowStripe" dxfId="473"/>
      <tableStyleElement type="secondRowStripe" dxfId="472"/>
    </tableStyle>
    <tableStyle name="DATA_DRAFT (MODEL)-style 22" pivot="0" count="2" xr9:uid="{00000000-0011-0000-FFFF-FFFF5F000000}">
      <tableStyleElement type="firstRowStripe" dxfId="471"/>
      <tableStyleElement type="secondRowStripe" dxfId="470"/>
    </tableStyle>
    <tableStyle name="DATA_DRAFT (MODEL)-style 23" pivot="0" count="2" xr9:uid="{00000000-0011-0000-FFFF-FFFF60000000}">
      <tableStyleElement type="firstRowStripe" dxfId="469"/>
      <tableStyleElement type="secondRowStripe" dxfId="468"/>
    </tableStyle>
    <tableStyle name="DATA_DRAFT (MODEL)-style 24" pivot="0" count="2" xr9:uid="{00000000-0011-0000-FFFF-FFFF61000000}">
      <tableStyleElement type="firstRowStripe" dxfId="467"/>
      <tableStyleElement type="secondRowStripe" dxfId="466"/>
    </tableStyle>
    <tableStyle name="DATA_DRAFT (MODEL)-style 25" pivot="0" count="2" xr9:uid="{00000000-0011-0000-FFFF-FFFF62000000}">
      <tableStyleElement type="firstRowStripe" dxfId="465"/>
      <tableStyleElement type="secondRowStripe" dxfId="464"/>
    </tableStyle>
    <tableStyle name="DATA_DRAFT (MODEL)-style 26" pivot="0" count="2" xr9:uid="{00000000-0011-0000-FFFF-FFFF63000000}">
      <tableStyleElement type="firstRowStripe" dxfId="463"/>
      <tableStyleElement type="secondRowStripe" dxfId="462"/>
    </tableStyle>
    <tableStyle name="DATA_DRAFT (MODEL)-style 27" pivot="0" count="2" xr9:uid="{00000000-0011-0000-FFFF-FFFF64000000}">
      <tableStyleElement type="firstRowStripe" dxfId="461"/>
      <tableStyleElement type="secondRowStripe" dxfId="460"/>
    </tableStyle>
    <tableStyle name="DATA_DRAFT (MODEL)-style 28" pivot="0" count="2" xr9:uid="{00000000-0011-0000-FFFF-FFFF65000000}">
      <tableStyleElement type="firstRowStripe" dxfId="459"/>
      <tableStyleElement type="secondRowStripe" dxfId="458"/>
    </tableStyle>
    <tableStyle name="DATA_DRAFT (MODEL)-style 29" pivot="0" count="2" xr9:uid="{00000000-0011-0000-FFFF-FFFF66000000}">
      <tableStyleElement type="firstRowStripe" dxfId="457"/>
      <tableStyleElement type="secondRowStripe" dxfId="456"/>
    </tableStyle>
    <tableStyle name="DATA_DRAFT (MODEL)-style 30" pivot="0" count="2" xr9:uid="{00000000-0011-0000-FFFF-FFFF67000000}">
      <tableStyleElement type="firstRowStripe" dxfId="455"/>
      <tableStyleElement type="secondRowStripe" dxfId="454"/>
    </tableStyle>
    <tableStyle name="DATA_DRAFT (MODEL)-style 31" pivot="0" count="2" xr9:uid="{00000000-0011-0000-FFFF-FFFF68000000}">
      <tableStyleElement type="firstRowStripe" dxfId="453"/>
      <tableStyleElement type="secondRowStripe" dxfId="452"/>
    </tableStyle>
    <tableStyle name="DATA_DRAFT (MODEL)-style 32" pivot="0" count="2" xr9:uid="{00000000-0011-0000-FFFF-FFFF69000000}">
      <tableStyleElement type="firstRowStripe" dxfId="451"/>
      <tableStyleElement type="secondRowStripe" dxfId="450"/>
    </tableStyle>
    <tableStyle name="DATA_DRAFT (MODEL)-style 33" pivot="0" count="2" xr9:uid="{00000000-0011-0000-FFFF-FFFF6A000000}">
      <tableStyleElement type="firstRowStripe" dxfId="449"/>
      <tableStyleElement type="secondRowStripe" dxfId="448"/>
    </tableStyle>
    <tableStyle name="DATA_DRAFT (MODEL)-style 34" pivot="0" count="2" xr9:uid="{00000000-0011-0000-FFFF-FFFF6B000000}">
      <tableStyleElement type="firstRowStripe" dxfId="447"/>
      <tableStyleElement type="secondRowStripe" dxfId="446"/>
    </tableStyle>
    <tableStyle name="DATA_DRAFT (MODEL)-style 35" pivot="0" count="2" xr9:uid="{00000000-0011-0000-FFFF-FFFF6C000000}">
      <tableStyleElement type="firstRowStripe" dxfId="445"/>
      <tableStyleElement type="secondRowStripe" dxfId="444"/>
    </tableStyle>
    <tableStyle name="DATA_DRAFT (MODEL)-style 36" pivot="0" count="2" xr9:uid="{00000000-0011-0000-FFFF-FFFF6D000000}">
      <tableStyleElement type="firstRowStripe" dxfId="443"/>
      <tableStyleElement type="secondRowStripe" dxfId="442"/>
    </tableStyle>
    <tableStyle name="DATA_DRAFT (MODEL)-style 37" pivot="0" count="2" xr9:uid="{00000000-0011-0000-FFFF-FFFF6E000000}">
      <tableStyleElement type="firstRowStripe" dxfId="441"/>
      <tableStyleElement type="secondRowStripe" dxfId="440"/>
    </tableStyle>
    <tableStyle name="DATA_DRAFT (MODEL)-style 38" pivot="0" count="2" xr9:uid="{00000000-0011-0000-FFFF-FFFF6F000000}">
      <tableStyleElement type="firstRowStripe" dxfId="439"/>
      <tableStyleElement type="secondRowStripe" dxfId="438"/>
    </tableStyle>
    <tableStyle name="DATA_DRAFT (MODEL)-style 39" pivot="0" count="2" xr9:uid="{00000000-0011-0000-FFFF-FFFF70000000}">
      <tableStyleElement type="firstRowStripe" dxfId="437"/>
      <tableStyleElement type="secondRowStripe" dxfId="436"/>
    </tableStyle>
    <tableStyle name="DATA_DRAFT (MODEL)-style 40" pivot="0" count="2" xr9:uid="{00000000-0011-0000-FFFF-FFFF71000000}">
      <tableStyleElement type="firstRowStripe" dxfId="435"/>
      <tableStyleElement type="secondRowStripe" dxfId="434"/>
    </tableStyle>
    <tableStyle name="DATA_DRAFT (MODEL)-style 41" pivot="0" count="2" xr9:uid="{00000000-0011-0000-FFFF-FFFF72000000}">
      <tableStyleElement type="firstRowStripe" dxfId="433"/>
      <tableStyleElement type="secondRowStripe" dxfId="432"/>
    </tableStyle>
    <tableStyle name="DATA_DRAFT (MODEL)-style 42" pivot="0" count="2" xr9:uid="{00000000-0011-0000-FFFF-FFFF73000000}">
      <tableStyleElement type="firstRowStripe" dxfId="431"/>
      <tableStyleElement type="secondRowStripe" dxfId="430"/>
    </tableStyle>
    <tableStyle name="DATA_DRAFT (MODEL)-style 43" pivot="0" count="2" xr9:uid="{00000000-0011-0000-FFFF-FFFF74000000}">
      <tableStyleElement type="firstRowStripe" dxfId="429"/>
      <tableStyleElement type="secondRowStripe" dxfId="428"/>
    </tableStyle>
    <tableStyle name="DATA_DRAFT (MODEL)-style 44" pivot="0" count="2" xr9:uid="{00000000-0011-0000-FFFF-FFFF75000000}">
      <tableStyleElement type="firstRowStripe" dxfId="427"/>
      <tableStyleElement type="secondRowStripe" dxfId="426"/>
    </tableStyle>
    <tableStyle name="DATA_DRAFT (MODEL)-style 45" pivot="0" count="2" xr9:uid="{00000000-0011-0000-FFFF-FFFF76000000}">
      <tableStyleElement type="firstRowStripe" dxfId="425"/>
      <tableStyleElement type="secondRowStripe" dxfId="424"/>
    </tableStyle>
    <tableStyle name="DATA_DRAFT (MODEL)-style 46" pivot="0" count="2" xr9:uid="{00000000-0011-0000-FFFF-FFFF77000000}">
      <tableStyleElement type="firstRowStripe" dxfId="423"/>
      <tableStyleElement type="secondRowStripe" dxfId="422"/>
    </tableStyle>
    <tableStyle name="DATA_DRAFT (MODEL)-style 47" pivot="0" count="2" xr9:uid="{00000000-0011-0000-FFFF-FFFF78000000}">
      <tableStyleElement type="firstRowStripe" dxfId="421"/>
      <tableStyleElement type="secondRowStripe" dxfId="420"/>
    </tableStyle>
    <tableStyle name="DATA_DRAFT (MODEL)-style 48" pivot="0" count="2" xr9:uid="{00000000-0011-0000-FFFF-FFFF79000000}">
      <tableStyleElement type="firstRowStripe" dxfId="419"/>
      <tableStyleElement type="secondRowStripe" dxfId="418"/>
    </tableStyle>
    <tableStyle name="DATA_DRAFT (MODEL)-style 49" pivot="0" count="2" xr9:uid="{00000000-0011-0000-FFFF-FFFF7A000000}">
      <tableStyleElement type="firstRowStripe" dxfId="417"/>
      <tableStyleElement type="secondRowStripe" dxfId="416"/>
    </tableStyle>
    <tableStyle name="DATA_DRAFT (MODEL)-style 50" pivot="0" count="2" xr9:uid="{00000000-0011-0000-FFFF-FFFF7B000000}">
      <tableStyleElement type="firstRowStripe" dxfId="415"/>
      <tableStyleElement type="secondRowStripe" dxfId="414"/>
    </tableStyle>
    <tableStyle name="DATA_DRAFT (MODEL)-style 51" pivot="0" count="2" xr9:uid="{00000000-0011-0000-FFFF-FFFF7C000000}">
      <tableStyleElement type="firstRowStripe" dxfId="413"/>
      <tableStyleElement type="secondRowStripe" dxfId="412"/>
    </tableStyle>
    <tableStyle name="DATA_DRAFT (MODEL)-style 52" pivot="0" count="2" xr9:uid="{00000000-0011-0000-FFFF-FFFF7D000000}">
      <tableStyleElement type="firstRowStripe" dxfId="411"/>
      <tableStyleElement type="secondRowStripe" dxfId="410"/>
    </tableStyle>
    <tableStyle name="DATA_DRAFT (MODEL)-style 53" pivot="0" count="2" xr9:uid="{00000000-0011-0000-FFFF-FFFF7E000000}">
      <tableStyleElement type="firstRowStripe" dxfId="409"/>
      <tableStyleElement type="secondRowStripe" dxfId="408"/>
    </tableStyle>
    <tableStyle name="DATA_DRAFT (MODEL)-style 54" pivot="0" count="2" xr9:uid="{00000000-0011-0000-FFFF-FFFF7F000000}">
      <tableStyleElement type="firstRowStripe" dxfId="407"/>
      <tableStyleElement type="secondRowStripe" dxfId="406"/>
    </tableStyle>
    <tableStyle name="DATA_DRAFT (MODEL)-style 55" pivot="0" count="2" xr9:uid="{00000000-0011-0000-FFFF-FFFF80000000}">
      <tableStyleElement type="firstRowStripe" dxfId="405"/>
      <tableStyleElement type="secondRowStripe" dxfId="404"/>
    </tableStyle>
    <tableStyle name="DATA_DRAFT (MODEL)-style 56" pivot="0" count="2" xr9:uid="{00000000-0011-0000-FFFF-FFFF81000000}">
      <tableStyleElement type="firstRowStripe" dxfId="403"/>
      <tableStyleElement type="secondRowStripe" dxfId="402"/>
    </tableStyle>
    <tableStyle name="DATA_DRAFT (MODEL)-style 57" pivot="0" count="2" xr9:uid="{00000000-0011-0000-FFFF-FFFF82000000}">
      <tableStyleElement type="firstRowStripe" dxfId="401"/>
      <tableStyleElement type="secondRowStripe" dxfId="400"/>
    </tableStyle>
    <tableStyle name="DATA_DRAFT (MODEL)-style 58" pivot="0" count="2" xr9:uid="{00000000-0011-0000-FFFF-FFFF83000000}">
      <tableStyleElement type="firstRowStripe" dxfId="399"/>
      <tableStyleElement type="secondRowStripe" dxfId="398"/>
    </tableStyle>
    <tableStyle name="DATA_DRAFT (MODEL)-style 59" pivot="0" count="2" xr9:uid="{00000000-0011-0000-FFFF-FFFF84000000}">
      <tableStyleElement type="firstRowStripe" dxfId="397"/>
      <tableStyleElement type="secondRowStripe" dxfId="396"/>
    </tableStyle>
    <tableStyle name="DATA_DRAFT (MODEL)-style 60" pivot="0" count="2" xr9:uid="{00000000-0011-0000-FFFF-FFFF85000000}">
      <tableStyleElement type="firstRowStripe" dxfId="395"/>
      <tableStyleElement type="secondRowStripe" dxfId="394"/>
    </tableStyle>
    <tableStyle name="DATA_DRAFT (MODEL)-style 61" pivot="0" count="2" xr9:uid="{00000000-0011-0000-FFFF-FFFF86000000}">
      <tableStyleElement type="firstRowStripe" dxfId="393"/>
      <tableStyleElement type="secondRowStripe" dxfId="392"/>
    </tableStyle>
    <tableStyle name="DATA_DRAFT (MODEL)-style 62" pivot="0" count="2" xr9:uid="{00000000-0011-0000-FFFF-FFFF87000000}">
      <tableStyleElement type="firstRowStripe" dxfId="391"/>
      <tableStyleElement type="secondRowStripe" dxfId="390"/>
    </tableStyle>
    <tableStyle name="DATA_DRAFT (MODEL)-style 63" pivot="0" count="2" xr9:uid="{00000000-0011-0000-FFFF-FFFF88000000}">
      <tableStyleElement type="firstRowStripe" dxfId="389"/>
      <tableStyleElement type="secondRowStripe" dxfId="388"/>
    </tableStyle>
    <tableStyle name="DATA_DRAFT (MODEL)-style 64" pivot="0" count="2" xr9:uid="{00000000-0011-0000-FFFF-FFFF89000000}">
      <tableStyleElement type="firstRowStripe" dxfId="387"/>
      <tableStyleElement type="secondRowStripe" dxfId="386"/>
    </tableStyle>
    <tableStyle name="DATA_DRAFT (MODEL)-style 65" pivot="0" count="2" xr9:uid="{00000000-0011-0000-FFFF-FFFF8A000000}">
      <tableStyleElement type="firstRowStripe" dxfId="385"/>
      <tableStyleElement type="secondRowStripe" dxfId="384"/>
    </tableStyle>
    <tableStyle name="DATA_DRAFT (MODEL)-style 66" pivot="0" count="2" xr9:uid="{00000000-0011-0000-FFFF-FFFF8B000000}">
      <tableStyleElement type="firstRowStripe" dxfId="383"/>
      <tableStyleElement type="secondRowStripe" dxfId="382"/>
    </tableStyle>
    <tableStyle name="DATA_DRAFT (MODEL)-style 67" pivot="0" count="2" xr9:uid="{00000000-0011-0000-FFFF-FFFF8C000000}">
      <tableStyleElement type="firstRowStripe" dxfId="381"/>
      <tableStyleElement type="secondRowStripe" dxfId="380"/>
    </tableStyle>
    <tableStyle name="DATA_DRAFT (MODEL)-style 68" pivot="0" count="2" xr9:uid="{00000000-0011-0000-FFFF-FFFF8D000000}">
      <tableStyleElement type="firstRowStripe" dxfId="379"/>
      <tableStyleElement type="secondRowStripe" dxfId="378"/>
    </tableStyle>
    <tableStyle name="DATA_DRAFT (MODEL)-style 69" pivot="0" count="2" xr9:uid="{00000000-0011-0000-FFFF-FFFF8E000000}">
      <tableStyleElement type="firstRowStripe" dxfId="377"/>
      <tableStyleElement type="secondRowStripe" dxfId="376"/>
    </tableStyle>
    <tableStyle name="DATA_DRAFT (MODEL)-style 70" pivot="0" count="2" xr9:uid="{00000000-0011-0000-FFFF-FFFF8F000000}">
      <tableStyleElement type="firstRowStripe" dxfId="375"/>
      <tableStyleElement type="secondRowStripe" dxfId="374"/>
    </tableStyle>
    <tableStyle name="DATA_DRAFT (MODEL)-style 71" pivot="0" count="2" xr9:uid="{00000000-0011-0000-FFFF-FFFF90000000}">
      <tableStyleElement type="firstRowStripe" dxfId="373"/>
      <tableStyleElement type="secondRowStripe" dxfId="372"/>
    </tableStyle>
    <tableStyle name="DATA_DRAFT (MODEL)-style 72" pivot="0" count="2" xr9:uid="{00000000-0011-0000-FFFF-FFFF91000000}">
      <tableStyleElement type="firstRowStripe" dxfId="371"/>
      <tableStyleElement type="secondRowStripe" dxfId="370"/>
    </tableStyle>
    <tableStyle name="DATA_DRAFT (MODEL)-style 73" pivot="0" count="2" xr9:uid="{00000000-0011-0000-FFFF-FFFF92000000}">
      <tableStyleElement type="firstRowStripe" dxfId="369"/>
      <tableStyleElement type="secondRowStripe" dxfId="368"/>
    </tableStyle>
    <tableStyle name="DATA_DRAFT (MODEL)-style 74" pivot="0" count="2" xr9:uid="{00000000-0011-0000-FFFF-FFFF93000000}">
      <tableStyleElement type="firstRowStripe" dxfId="367"/>
      <tableStyleElement type="secondRowStripe" dxfId="366"/>
    </tableStyle>
    <tableStyle name="DATA_DRAFT (MODEL)-style 75" pivot="0" count="2" xr9:uid="{00000000-0011-0000-FFFF-FFFF94000000}">
      <tableStyleElement type="firstRowStripe" dxfId="365"/>
      <tableStyleElement type="secondRowStripe" dxfId="364"/>
    </tableStyle>
    <tableStyle name="DATA_DRAFT (MODEL)-style 76" pivot="0" count="2" xr9:uid="{00000000-0011-0000-FFFF-FFFF95000000}">
      <tableStyleElement type="firstRowStripe" dxfId="363"/>
      <tableStyleElement type="secondRowStripe" dxfId="362"/>
    </tableStyle>
    <tableStyle name="DATA_DRAFT (MODEL)-style 77" pivot="0" count="2" xr9:uid="{00000000-0011-0000-FFFF-FFFF96000000}">
      <tableStyleElement type="firstRowStripe" dxfId="361"/>
      <tableStyleElement type="secondRowStripe" dxfId="360"/>
    </tableStyle>
    <tableStyle name="DATA_DRAFT (MODEL)-style 78" pivot="0" count="2" xr9:uid="{00000000-0011-0000-FFFF-FFFF97000000}">
      <tableStyleElement type="firstRowStripe" dxfId="359"/>
      <tableStyleElement type="secondRowStripe" dxfId="358"/>
    </tableStyle>
    <tableStyle name="DATA_DRAFT (MODEL)-style 79" pivot="0" count="2" xr9:uid="{00000000-0011-0000-FFFF-FFFF98000000}">
      <tableStyleElement type="firstRowStripe" dxfId="357"/>
      <tableStyleElement type="secondRowStripe" dxfId="356"/>
    </tableStyle>
    <tableStyle name="DATA_DRAFT (MODEL)-style 80" pivot="0" count="2" xr9:uid="{00000000-0011-0000-FFFF-FFFF99000000}">
      <tableStyleElement type="firstRowStripe" dxfId="355"/>
      <tableStyleElement type="secondRowStripe" dxfId="354"/>
    </tableStyle>
    <tableStyle name="DATA_DRAFT (MODEL)-style 81" pivot="0" count="2" xr9:uid="{00000000-0011-0000-FFFF-FFFF9A000000}">
      <tableStyleElement type="firstRowStripe" dxfId="353"/>
      <tableStyleElement type="secondRowStripe" dxfId="352"/>
    </tableStyle>
    <tableStyle name="DATA_DRAFT (MODEL)-style 82" pivot="0" count="2" xr9:uid="{00000000-0011-0000-FFFF-FFFF9B000000}">
      <tableStyleElement type="firstRowStripe" dxfId="351"/>
      <tableStyleElement type="secondRowStripe" dxfId="350"/>
    </tableStyle>
    <tableStyle name="DATA_DRAFT (MODEL)-style 83" pivot="0" count="2" xr9:uid="{00000000-0011-0000-FFFF-FFFF9C000000}">
      <tableStyleElement type="firstRowStripe" dxfId="349"/>
      <tableStyleElement type="secondRowStripe" dxfId="348"/>
    </tableStyle>
    <tableStyle name="DATA_DRAFT (MODEL)-style 84" pivot="0" count="2" xr9:uid="{00000000-0011-0000-FFFF-FFFF9D000000}">
      <tableStyleElement type="firstRowStripe" dxfId="347"/>
      <tableStyleElement type="secondRowStripe" dxfId="346"/>
    </tableStyle>
    <tableStyle name="DATA_DRAFT (MODEL)-style 85" pivot="0" count="2" xr9:uid="{00000000-0011-0000-FFFF-FFFF9E000000}">
      <tableStyleElement type="firstRowStripe" dxfId="345"/>
      <tableStyleElement type="secondRowStripe" dxfId="344"/>
    </tableStyle>
    <tableStyle name="DATA_DRAFT (MODEL)-style 86" pivot="0" count="2" xr9:uid="{00000000-0011-0000-FFFF-FFFF9F000000}">
      <tableStyleElement type="firstRowStripe" dxfId="343"/>
      <tableStyleElement type="secondRowStripe" dxfId="342"/>
    </tableStyle>
    <tableStyle name="DATA_DRAFT (MODEL)-style 87" pivot="0" count="2" xr9:uid="{00000000-0011-0000-FFFF-FFFFA0000000}">
      <tableStyleElement type="firstRowStripe" dxfId="341"/>
      <tableStyleElement type="secondRowStripe" dxfId="340"/>
    </tableStyle>
    <tableStyle name="DATA_DRAFT (MODEL)-style 88" pivot="0" count="2" xr9:uid="{00000000-0011-0000-FFFF-FFFFA1000000}">
      <tableStyleElement type="firstRowStripe" dxfId="339"/>
      <tableStyleElement type="secondRowStripe" dxfId="338"/>
    </tableStyle>
    <tableStyle name="DATA_DRAFT (MODEL)-style 89" pivot="0" count="2" xr9:uid="{00000000-0011-0000-FFFF-FFFFA2000000}">
      <tableStyleElement type="firstRowStripe" dxfId="337"/>
      <tableStyleElement type="secondRowStripe" dxfId="336"/>
    </tableStyle>
    <tableStyle name="DATA_DRAFT (MODEL)-style 90" pivot="0" count="2" xr9:uid="{00000000-0011-0000-FFFF-FFFFA3000000}">
      <tableStyleElement type="firstRowStripe" dxfId="335"/>
      <tableStyleElement type="secondRowStripe" dxfId="334"/>
    </tableStyle>
    <tableStyle name="DATA_DRAFT (MODEL)-style 91" pivot="0" count="2" xr9:uid="{00000000-0011-0000-FFFF-FFFFA4000000}">
      <tableStyleElement type="firstRowStripe" dxfId="333"/>
      <tableStyleElement type="secondRowStripe" dxfId="332"/>
    </tableStyle>
    <tableStyle name="DATA_DRAFT (MODEL)-style 92" pivot="0" count="2" xr9:uid="{00000000-0011-0000-FFFF-FFFFA5000000}">
      <tableStyleElement type="firstRowStripe" dxfId="331"/>
      <tableStyleElement type="secondRowStripe" dxfId="330"/>
    </tableStyle>
    <tableStyle name="DATA_DRAFT (MODEL)-style 93" pivot="0" count="2" xr9:uid="{00000000-0011-0000-FFFF-FFFFA6000000}">
      <tableStyleElement type="firstRowStripe" dxfId="329"/>
      <tableStyleElement type="secondRowStripe" dxfId="328"/>
    </tableStyle>
    <tableStyle name="DATA_DRAFT (MODEL)-style 94" pivot="0" count="2" xr9:uid="{00000000-0011-0000-FFFF-FFFFA7000000}">
      <tableStyleElement type="firstRowStripe" dxfId="327"/>
      <tableStyleElement type="secondRowStripe" dxfId="326"/>
    </tableStyle>
    <tableStyle name="DATA_DRAFT (MODEL)-style 95" pivot="0" count="2" xr9:uid="{00000000-0011-0000-FFFF-FFFFA8000000}">
      <tableStyleElement type="firstRowStripe" dxfId="325"/>
      <tableStyleElement type="secondRowStripe" dxfId="324"/>
    </tableStyle>
    <tableStyle name="DATA_DRAFT (MODEL)-style 96" pivot="0" count="2" xr9:uid="{00000000-0011-0000-FFFF-FFFFA9000000}">
      <tableStyleElement type="firstRowStripe" dxfId="323"/>
      <tableStyleElement type="secondRowStripe" dxfId="322"/>
    </tableStyle>
    <tableStyle name="DATA_DRAFT (MODEL)-style 97" pivot="0" count="2" xr9:uid="{00000000-0011-0000-FFFF-FFFFAA000000}">
      <tableStyleElement type="firstRowStripe" dxfId="321"/>
      <tableStyleElement type="secondRowStripe" dxfId="320"/>
    </tableStyle>
    <tableStyle name="DATA_DRAFT (MODEL)-style 98" pivot="0" count="2" xr9:uid="{00000000-0011-0000-FFFF-FFFFAB000000}">
      <tableStyleElement type="firstRowStripe" dxfId="319"/>
      <tableStyleElement type="secondRowStripe" dxfId="318"/>
    </tableStyle>
    <tableStyle name="DATA_DRAFT (MODEL)-style 99" pivot="0" count="2" xr9:uid="{00000000-0011-0000-FFFF-FFFFAC000000}">
      <tableStyleElement type="firstRowStripe" dxfId="317"/>
      <tableStyleElement type="secondRowStripe" dxfId="316"/>
    </tableStyle>
    <tableStyle name="DATA_DRAFT (MODEL)-style 100" pivot="0" count="2" xr9:uid="{00000000-0011-0000-FFFF-FFFFAD000000}">
      <tableStyleElement type="firstRowStripe" dxfId="315"/>
      <tableStyleElement type="secondRowStripe" dxfId="314"/>
    </tableStyle>
    <tableStyle name="DATA_DRAFT (MODEL)-style 101" pivot="0" count="2" xr9:uid="{00000000-0011-0000-FFFF-FFFFAE000000}">
      <tableStyleElement type="firstRowStripe" dxfId="313"/>
      <tableStyleElement type="secondRowStripe" dxfId="312"/>
    </tableStyle>
    <tableStyle name="DATA_DRAFT (MODEL)-style 102" pivot="0" count="2" xr9:uid="{00000000-0011-0000-FFFF-FFFFAF000000}">
      <tableStyleElement type="firstRowStripe" dxfId="311"/>
      <tableStyleElement type="secondRowStripe" dxfId="310"/>
    </tableStyle>
    <tableStyle name="DATA_DRAFT (MODEL)-style 103" pivot="0" count="2" xr9:uid="{00000000-0011-0000-FFFF-FFFFB0000000}">
      <tableStyleElement type="firstRowStripe" dxfId="309"/>
      <tableStyleElement type="secondRowStripe" dxfId="308"/>
    </tableStyle>
    <tableStyle name="DATA_DRAFT (MODEL)-style 104" pivot="0" count="2" xr9:uid="{00000000-0011-0000-FFFF-FFFFB1000000}">
      <tableStyleElement type="firstRowStripe" dxfId="307"/>
      <tableStyleElement type="secondRowStripe" dxfId="306"/>
    </tableStyle>
    <tableStyle name="DATA_DRAFT (MODEL)-style 105" pivot="0" count="2" xr9:uid="{00000000-0011-0000-FFFF-FFFFB2000000}">
      <tableStyleElement type="firstRowStripe" dxfId="305"/>
      <tableStyleElement type="secondRowStripe" dxfId="304"/>
    </tableStyle>
    <tableStyle name="DATA_DRAFT (MODEL)-style 106" pivot="0" count="2" xr9:uid="{00000000-0011-0000-FFFF-FFFFB3000000}">
      <tableStyleElement type="firstRowStripe" dxfId="303"/>
      <tableStyleElement type="secondRowStripe" dxfId="302"/>
    </tableStyle>
    <tableStyle name="DATA_DRAFT (MODEL)-style 107" pivot="0" count="2" xr9:uid="{00000000-0011-0000-FFFF-FFFFB4000000}">
      <tableStyleElement type="firstRowStripe" dxfId="301"/>
      <tableStyleElement type="secondRowStripe" dxfId="300"/>
    </tableStyle>
    <tableStyle name="DATA_DRAFT (MODEL)-style 108" pivot="0" count="2" xr9:uid="{00000000-0011-0000-FFFF-FFFFB5000000}">
      <tableStyleElement type="firstRowStripe" dxfId="299"/>
      <tableStyleElement type="secondRowStripe" dxfId="298"/>
    </tableStyle>
    <tableStyle name="DATA_DRAFT (MODEL)-style 109" pivot="0" count="2" xr9:uid="{00000000-0011-0000-FFFF-FFFFB6000000}">
      <tableStyleElement type="firstRowStripe" dxfId="297"/>
      <tableStyleElement type="secondRowStripe" dxfId="296"/>
    </tableStyle>
    <tableStyle name="DATA_DRAFT (MODEL)-style 110" pivot="0" count="2" xr9:uid="{00000000-0011-0000-FFFF-FFFFB7000000}">
      <tableStyleElement type="firstRowStripe" dxfId="295"/>
      <tableStyleElement type="secondRowStripe" dxfId="294"/>
    </tableStyle>
    <tableStyle name="DATA_DRAFT (MODEL)-style 111" pivot="0" count="2" xr9:uid="{00000000-0011-0000-FFFF-FFFFB8000000}">
      <tableStyleElement type="firstRowStripe" dxfId="293"/>
      <tableStyleElement type="secondRowStripe" dxfId="292"/>
    </tableStyle>
    <tableStyle name="DATA_DRAFT (MODEL)-style 112" pivot="0" count="2" xr9:uid="{00000000-0011-0000-FFFF-FFFFB9000000}">
      <tableStyleElement type="firstRowStripe" dxfId="291"/>
      <tableStyleElement type="secondRowStripe" dxfId="290"/>
    </tableStyle>
    <tableStyle name="DATA_DRAFT (MODEL)-style 113" pivot="0" count="2" xr9:uid="{00000000-0011-0000-FFFF-FFFFBA000000}">
      <tableStyleElement type="firstRowStripe" dxfId="289"/>
      <tableStyleElement type="secondRowStripe" dxfId="288"/>
    </tableStyle>
    <tableStyle name="DATA_DRAFT (MODEL)-style 114" pivot="0" count="2" xr9:uid="{00000000-0011-0000-FFFF-FFFFBB000000}">
      <tableStyleElement type="firstRowStripe" dxfId="287"/>
      <tableStyleElement type="secondRowStripe" dxfId="286"/>
    </tableStyle>
    <tableStyle name="DATA_DRAFT (MODEL)-style 115" pivot="0" count="2" xr9:uid="{00000000-0011-0000-FFFF-FFFFBC000000}">
      <tableStyleElement type="firstRowStripe" dxfId="285"/>
      <tableStyleElement type="secondRowStripe" dxfId="284"/>
    </tableStyle>
    <tableStyle name="DATA_DRAFT (MODEL)-style 116" pivot="0" count="2" xr9:uid="{00000000-0011-0000-FFFF-FFFFBD000000}">
      <tableStyleElement type="firstRowStripe" dxfId="283"/>
      <tableStyleElement type="secondRowStripe" dxfId="282"/>
    </tableStyle>
    <tableStyle name="DATA_DRAFT (MODEL)-style 117" pivot="0" count="2" xr9:uid="{00000000-0011-0000-FFFF-FFFFBE000000}">
      <tableStyleElement type="firstRowStripe" dxfId="281"/>
      <tableStyleElement type="secondRowStripe" dxfId="280"/>
    </tableStyle>
    <tableStyle name="DATA_DRAFT (MODEL)-style 118" pivot="0" count="2" xr9:uid="{00000000-0011-0000-FFFF-FFFFBF000000}">
      <tableStyleElement type="firstRowStripe" dxfId="279"/>
      <tableStyleElement type="secondRowStripe" dxfId="278"/>
    </tableStyle>
    <tableStyle name="DATA_DRAFT (MODEL)-style 119" pivot="0" count="2" xr9:uid="{00000000-0011-0000-FFFF-FFFFC0000000}">
      <tableStyleElement type="firstRowStripe" dxfId="277"/>
      <tableStyleElement type="secondRowStripe" dxfId="276"/>
    </tableStyle>
    <tableStyle name="DATA_DRAFT (MODEL)-style 120" pivot="0" count="2" xr9:uid="{00000000-0011-0000-FFFF-FFFFC1000000}">
      <tableStyleElement type="firstRowStripe" dxfId="275"/>
      <tableStyleElement type="secondRowStripe" dxfId="274"/>
    </tableStyle>
    <tableStyle name="DATA_DRAFT (MODEL)-style 121" pivot="0" count="2" xr9:uid="{00000000-0011-0000-FFFF-FFFFC2000000}">
      <tableStyleElement type="firstRowStripe" dxfId="273"/>
      <tableStyleElement type="secondRowStripe" dxfId="272"/>
    </tableStyle>
    <tableStyle name="DATA_DRAFT (MODEL)-style 122" pivot="0" count="2" xr9:uid="{00000000-0011-0000-FFFF-FFFFC3000000}">
      <tableStyleElement type="firstRowStripe" dxfId="271"/>
      <tableStyleElement type="secondRowStripe" dxfId="270"/>
    </tableStyle>
    <tableStyle name="DATA_DRAFT (MODEL)-style 123" pivot="0" count="2" xr9:uid="{00000000-0011-0000-FFFF-FFFFC4000000}">
      <tableStyleElement type="firstRowStripe" dxfId="269"/>
      <tableStyleElement type="secondRowStripe" dxfId="268"/>
    </tableStyle>
    <tableStyle name="DATA_DRAFT (MODEL)-style 124" pivot="0" count="2" xr9:uid="{00000000-0011-0000-FFFF-FFFFC5000000}">
      <tableStyleElement type="firstRowStripe" dxfId="267"/>
      <tableStyleElement type="secondRowStripe" dxfId="266"/>
    </tableStyle>
    <tableStyle name="DATA_DRAFT (MODEL)-style 125" pivot="0" count="2" xr9:uid="{00000000-0011-0000-FFFF-FFFFC6000000}">
      <tableStyleElement type="firstRowStripe" dxfId="265"/>
      <tableStyleElement type="secondRowStripe" dxfId="264"/>
    </tableStyle>
    <tableStyle name="DATA_DRAFT (MODEL)-style 126" pivot="0" count="2" xr9:uid="{00000000-0011-0000-FFFF-FFFFC7000000}">
      <tableStyleElement type="firstRowStripe" dxfId="263"/>
      <tableStyleElement type="secondRowStripe" dxfId="262"/>
    </tableStyle>
    <tableStyle name="DATA_DRAFT (MODEL)-style 127" pivot="0" count="2" xr9:uid="{00000000-0011-0000-FFFF-FFFFC8000000}">
      <tableStyleElement type="firstRowStripe" dxfId="261"/>
      <tableStyleElement type="secondRowStripe" dxfId="260"/>
    </tableStyle>
    <tableStyle name="DATA_DRAFT (MODEL)-style 128" pivot="0" count="2" xr9:uid="{00000000-0011-0000-FFFF-FFFFC9000000}">
      <tableStyleElement type="firstRowStripe" dxfId="259"/>
      <tableStyleElement type="secondRowStripe" dxfId="258"/>
    </tableStyle>
    <tableStyle name="DATA_DRAFT (MODEL)-style 129" pivot="0" count="2" xr9:uid="{00000000-0011-0000-FFFF-FFFFCA000000}">
      <tableStyleElement type="firstRowStripe" dxfId="257"/>
      <tableStyleElement type="secondRowStripe" dxfId="256"/>
    </tableStyle>
    <tableStyle name="DATA_DRAFT (MODEL)-style 130" pivot="0" count="2" xr9:uid="{00000000-0011-0000-FFFF-FFFFCB000000}">
      <tableStyleElement type="firstRowStripe" dxfId="255"/>
      <tableStyleElement type="secondRowStripe" dxfId="254"/>
    </tableStyle>
    <tableStyle name="DATA_DRAFT (MODEL)-style 131" pivot="0" count="2" xr9:uid="{00000000-0011-0000-FFFF-FFFFCC000000}">
      <tableStyleElement type="firstRowStripe" dxfId="253"/>
      <tableStyleElement type="secondRowStripe" dxfId="252"/>
    </tableStyle>
    <tableStyle name="DATA_DRAFT (MODEL)-style 132" pivot="0" count="2" xr9:uid="{00000000-0011-0000-FFFF-FFFFCD000000}">
      <tableStyleElement type="firstRowStripe" dxfId="251"/>
      <tableStyleElement type="secondRowStripe" dxfId="250"/>
    </tableStyle>
    <tableStyle name="DATA_DRAFT (MODEL)-style 133" pivot="0" count="2" xr9:uid="{00000000-0011-0000-FFFF-FFFFCE000000}">
      <tableStyleElement type="firstRowStripe" dxfId="249"/>
      <tableStyleElement type="secondRowStripe" dxfId="248"/>
    </tableStyle>
    <tableStyle name="DATA_DRAFT (MODEL)-style 134" pivot="0" count="2" xr9:uid="{00000000-0011-0000-FFFF-FFFFCF000000}">
      <tableStyleElement type="firstRowStripe" dxfId="247"/>
      <tableStyleElement type="secondRowStripe" dxfId="246"/>
    </tableStyle>
    <tableStyle name="DATA_DRAFT (MODEL)-style 135" pivot="0" count="2" xr9:uid="{00000000-0011-0000-FFFF-FFFFD0000000}">
      <tableStyleElement type="firstRowStripe" dxfId="245"/>
      <tableStyleElement type="secondRowStripe" dxfId="244"/>
    </tableStyle>
    <tableStyle name="DATA_DRAFT (MODEL)-style 136" pivot="0" count="2" xr9:uid="{00000000-0011-0000-FFFF-FFFFD1000000}">
      <tableStyleElement type="firstRowStripe" dxfId="243"/>
      <tableStyleElement type="secondRowStripe" dxfId="242"/>
    </tableStyle>
    <tableStyle name="DATA_DRAFT (MODEL)-style 137" pivot="0" count="2" xr9:uid="{00000000-0011-0000-FFFF-FFFFD2000000}">
      <tableStyleElement type="firstRowStripe" dxfId="241"/>
      <tableStyleElement type="secondRowStripe" dxfId="240"/>
    </tableStyle>
    <tableStyle name="DATA_DRAFT (MODEL)-style 138" pivot="0" count="2" xr9:uid="{00000000-0011-0000-FFFF-FFFFD3000000}">
      <tableStyleElement type="firstRowStripe" dxfId="239"/>
      <tableStyleElement type="secondRowStripe" dxfId="238"/>
    </tableStyle>
    <tableStyle name="DATA_DRAFT (MODEL)-style 139" pivot="0" count="2" xr9:uid="{00000000-0011-0000-FFFF-FFFFD4000000}">
      <tableStyleElement type="firstRowStripe" dxfId="237"/>
      <tableStyleElement type="secondRowStripe" dxfId="236"/>
    </tableStyle>
    <tableStyle name="DATA_DRAFT (MODEL)-style 140" pivot="0" count="2" xr9:uid="{00000000-0011-0000-FFFF-FFFFD5000000}">
      <tableStyleElement type="firstRowStripe" dxfId="235"/>
      <tableStyleElement type="secondRowStripe" dxfId="234"/>
    </tableStyle>
    <tableStyle name="DATA_DRAFT (MODEL)-style 141" pivot="0" count="2" xr9:uid="{00000000-0011-0000-FFFF-FFFFD6000000}">
      <tableStyleElement type="firstRowStripe" dxfId="233"/>
      <tableStyleElement type="secondRowStripe" dxfId="232"/>
    </tableStyle>
    <tableStyle name="DATA_DRAFT (MODEL)-style 142" pivot="0" count="2" xr9:uid="{00000000-0011-0000-FFFF-FFFFD7000000}">
      <tableStyleElement type="firstRowStripe" dxfId="231"/>
      <tableStyleElement type="secondRowStripe" dxfId="230"/>
    </tableStyle>
    <tableStyle name="DATA_DRAFT (MODEL)-style 143" pivot="0" count="2" xr9:uid="{00000000-0011-0000-FFFF-FFFFD8000000}">
      <tableStyleElement type="firstRowStripe" dxfId="229"/>
      <tableStyleElement type="secondRowStripe" dxfId="228"/>
    </tableStyle>
    <tableStyle name="DATA_DRAFT (MODEL)-style 144" pivot="0" count="2" xr9:uid="{00000000-0011-0000-FFFF-FFFFD9000000}">
      <tableStyleElement type="firstRowStripe" dxfId="227"/>
      <tableStyleElement type="secondRowStripe" dxfId="226"/>
    </tableStyle>
    <tableStyle name="DATA_DRAFT (MODEL)-style 145" pivot="0" count="2" xr9:uid="{00000000-0011-0000-FFFF-FFFFDA000000}">
      <tableStyleElement type="firstRowStripe" dxfId="225"/>
      <tableStyleElement type="secondRowStripe" dxfId="224"/>
    </tableStyle>
    <tableStyle name="DATA_DRAFT (MODEL)-style 146" pivot="0" count="2" xr9:uid="{00000000-0011-0000-FFFF-FFFFDB000000}">
      <tableStyleElement type="firstRowStripe" dxfId="223"/>
      <tableStyleElement type="secondRowStripe" dxfId="222"/>
    </tableStyle>
    <tableStyle name="DATA_DRAFT (MODEL)-style 147" pivot="0" count="2" xr9:uid="{00000000-0011-0000-FFFF-FFFFDC000000}">
      <tableStyleElement type="firstRowStripe" dxfId="221"/>
      <tableStyleElement type="secondRowStripe" dxfId="220"/>
    </tableStyle>
    <tableStyle name="DATA_DRAFT (EVALUATION)-style" pivot="0" count="4" xr9:uid="{00000000-0011-0000-FFFF-FFFFDD000000}">
      <tableStyleElement type="wholeTable" size="0" dxfId="216"/>
      <tableStyleElement type="headerRow" dxfId="219"/>
      <tableStyleElement type="firstRowStripe" dxfId="218"/>
      <tableStyleElement type="secondRowStripe" dxfId="217"/>
    </tableStyle>
    <tableStyle name="DATA_DRAFT (EVALUATION)-style 2" pivot="0" count="2" xr9:uid="{00000000-0011-0000-FFFF-FFFFDE000000}">
      <tableStyleElement type="firstRowStripe" dxfId="215"/>
      <tableStyleElement type="secondRowStripe" dxfId="214"/>
    </tableStyle>
    <tableStyle name="DATA_DRAFT (EVALUATION)-style 3" pivot="0" count="2" xr9:uid="{00000000-0011-0000-FFFF-FFFFDF000000}">
      <tableStyleElement type="firstRowStripe" dxfId="213"/>
      <tableStyleElement type="secondRowStripe" dxfId="212"/>
    </tableStyle>
    <tableStyle name="DATA_DRAFT (EVALUATION)-style 4" pivot="0" count="2" xr9:uid="{00000000-0011-0000-FFFF-FFFFE0000000}">
      <tableStyleElement type="firstRowStripe" dxfId="211"/>
      <tableStyleElement type="secondRowStripe" dxfId="210"/>
    </tableStyle>
    <tableStyle name="DATA_DRAFT (EVALUATION)-style 5" pivot="0" count="2" xr9:uid="{00000000-0011-0000-FFFF-FFFFE1000000}">
      <tableStyleElement type="firstRowStripe" dxfId="209"/>
      <tableStyleElement type="secondRowStripe" dxfId="208"/>
    </tableStyle>
    <tableStyle name="DATA_DRAFT (EVALUATION)-style 6" pivot="0" count="2" xr9:uid="{00000000-0011-0000-FFFF-FFFFE2000000}">
      <tableStyleElement type="firstRowStripe" dxfId="207"/>
      <tableStyleElement type="secondRowStripe" dxfId="206"/>
    </tableStyle>
    <tableStyle name="DATA_DRAFT (EVALUATION)-style 7" pivot="0" count="2" xr9:uid="{00000000-0011-0000-FFFF-FFFFE3000000}">
      <tableStyleElement type="firstRowStripe" dxfId="205"/>
      <tableStyleElement type="secondRowStripe" dxfId="204"/>
    </tableStyle>
    <tableStyle name="DATA_DRAFT (EVALUATION)-style 8" pivot="0" count="2" xr9:uid="{00000000-0011-0000-FFFF-FFFFE4000000}">
      <tableStyleElement type="firstRowStripe" dxfId="203"/>
      <tableStyleElement type="secondRowStripe" dxfId="202"/>
    </tableStyle>
    <tableStyle name="DATA_DRAFT (EVALUATION)-style 9" pivot="0" count="2" xr9:uid="{00000000-0011-0000-FFFF-FFFFE5000000}">
      <tableStyleElement type="firstRowStripe" dxfId="201"/>
      <tableStyleElement type="secondRowStripe" dxfId="200"/>
    </tableStyle>
    <tableStyle name="DATA_DRAFT (EVALUATION)-style 10" pivot="0" count="2" xr9:uid="{00000000-0011-0000-FFFF-FFFFE6000000}">
      <tableStyleElement type="firstRowStripe" dxfId="199"/>
      <tableStyleElement type="secondRowStripe" dxfId="198"/>
    </tableStyle>
    <tableStyle name="DATA_DRAFT (EVALUATION)-style 11" pivot="0" count="2" xr9:uid="{00000000-0011-0000-FFFF-FFFFE7000000}">
      <tableStyleElement type="firstRowStripe" dxfId="197"/>
      <tableStyleElement type="secondRowStripe" dxfId="196"/>
    </tableStyle>
    <tableStyle name="DATA_DRAFT (EVALUATION)-style 12" pivot="0" count="2" xr9:uid="{00000000-0011-0000-FFFF-FFFFE8000000}">
      <tableStyleElement type="firstRowStripe" dxfId="195"/>
      <tableStyleElement type="secondRowStripe" dxfId="194"/>
    </tableStyle>
    <tableStyle name="DATA_DRAFT (EVALUATION)-style 13" pivot="0" count="2" xr9:uid="{00000000-0011-0000-FFFF-FFFFE9000000}">
      <tableStyleElement type="firstRowStripe" dxfId="193"/>
      <tableStyleElement type="secondRowStripe" dxfId="192"/>
    </tableStyle>
    <tableStyle name="DATA_DRAFT (EVALUATION)-style 14" pivot="0" count="2" xr9:uid="{00000000-0011-0000-FFFF-FFFFEA000000}">
      <tableStyleElement type="firstRowStripe" dxfId="191"/>
      <tableStyleElement type="secondRowStripe" dxfId="190"/>
    </tableStyle>
    <tableStyle name="DATA_DRAFT (EVALUATION)-style 15" pivot="0" count="2" xr9:uid="{00000000-0011-0000-FFFF-FFFFEB000000}">
      <tableStyleElement type="firstRowStripe" dxfId="189"/>
      <tableStyleElement type="secondRowStripe" dxfId="188"/>
    </tableStyle>
    <tableStyle name="DATA_DRAFT (EVALUATION)-style 16" pivot="0" count="2" xr9:uid="{00000000-0011-0000-FFFF-FFFFEC000000}">
      <tableStyleElement type="firstRowStripe" dxfId="187"/>
      <tableStyleElement type="secondRowStripe" dxfId="186"/>
    </tableStyle>
    <tableStyle name="DATA_DRAFT (EVALUATION)-style 17" pivot="0" count="2" xr9:uid="{00000000-0011-0000-FFFF-FFFFED000000}">
      <tableStyleElement type="firstRowStripe" dxfId="185"/>
      <tableStyleElement type="secondRowStripe" dxfId="184"/>
    </tableStyle>
    <tableStyle name="DATA_DRAFT (EVALUATION)-style 18" pivot="0" count="2" xr9:uid="{00000000-0011-0000-FFFF-FFFFEE000000}">
      <tableStyleElement type="firstRowStripe" dxfId="183"/>
      <tableStyleElement type="secondRowStripe" dxfId="182"/>
    </tableStyle>
    <tableStyle name="DATA_DRAFT (EVALUATION)-style 19" pivot="0" count="2" xr9:uid="{00000000-0011-0000-FFFF-FFFFEF000000}">
      <tableStyleElement type="firstRowStripe" dxfId="181"/>
      <tableStyleElement type="secondRowStripe" dxfId="180"/>
    </tableStyle>
    <tableStyle name="DATA_DRAFT (EVALUATION)-style 20" pivot="0" count="2" xr9:uid="{00000000-0011-0000-FFFF-FFFFF0000000}">
      <tableStyleElement type="firstRowStripe" dxfId="179"/>
      <tableStyleElement type="secondRowStripe" dxfId="178"/>
    </tableStyle>
    <tableStyle name="DATA_DRAFT (EVALUATION)-style 21" pivot="0" count="2" xr9:uid="{00000000-0011-0000-FFFF-FFFFF1000000}">
      <tableStyleElement type="firstRowStripe" dxfId="177"/>
      <tableStyleElement type="secondRowStripe" dxfId="176"/>
    </tableStyle>
    <tableStyle name="DATA_DRAFT (EVALUATION)-style 22" pivot="0" count="2" xr9:uid="{00000000-0011-0000-FFFF-FFFFF2000000}">
      <tableStyleElement type="firstRowStripe" dxfId="175"/>
      <tableStyleElement type="secondRowStripe" dxfId="174"/>
    </tableStyle>
    <tableStyle name="DATA_DRAFT (EVALUATION)-style 23" pivot="0" count="2" xr9:uid="{00000000-0011-0000-FFFF-FFFFF3000000}">
      <tableStyleElement type="firstRowStripe" dxfId="173"/>
      <tableStyleElement type="secondRowStripe" dxfId="172"/>
    </tableStyle>
    <tableStyle name="DATA_DRAFT (EVALUATION)-style 24" pivot="0" count="2" xr9:uid="{00000000-0011-0000-FFFF-FFFFF4000000}">
      <tableStyleElement type="firstRowStripe" dxfId="171"/>
      <tableStyleElement type="secondRowStripe" dxfId="170"/>
    </tableStyle>
    <tableStyle name="DATA_DRAFT (EVALUATION)-style 25" pivot="0" count="2" xr9:uid="{00000000-0011-0000-FFFF-FFFFF5000000}">
      <tableStyleElement type="firstRowStripe" dxfId="169"/>
      <tableStyleElement type="secondRowStripe" dxfId="168"/>
    </tableStyle>
    <tableStyle name="DATA_DRAFT (EVALUATION)-style 26" pivot="0" count="2" xr9:uid="{00000000-0011-0000-FFFF-FFFFF6000000}">
      <tableStyleElement type="firstRowStripe" dxfId="167"/>
      <tableStyleElement type="secondRowStripe" dxfId="166"/>
    </tableStyle>
    <tableStyle name="DATA_DRAFT (EVALUATION)-style 27" pivot="0" count="2" xr9:uid="{00000000-0011-0000-FFFF-FFFFF7000000}">
      <tableStyleElement type="firstRowStripe" dxfId="165"/>
      <tableStyleElement type="secondRowStripe" dxfId="164"/>
    </tableStyle>
    <tableStyle name="DATA_DRAFT (EVALUATION)-style 28" pivot="0" count="2" xr9:uid="{00000000-0011-0000-FFFF-FFFFF8000000}">
      <tableStyleElement type="firstRowStripe" dxfId="163"/>
      <tableStyleElement type="secondRowStripe" dxfId="162"/>
    </tableStyle>
    <tableStyle name="DATA_DRAFT (EVALUATION)-style 29" pivot="0" count="2" xr9:uid="{00000000-0011-0000-FFFF-FFFFF9000000}">
      <tableStyleElement type="firstRowStripe" dxfId="161"/>
      <tableStyleElement type="secondRowStripe" dxfId="160"/>
    </tableStyle>
    <tableStyle name="DATA_DRAFT (EVALUATION)-style 30" pivot="0" count="2" xr9:uid="{00000000-0011-0000-FFFF-FFFFFA000000}">
      <tableStyleElement type="firstRowStripe" dxfId="159"/>
      <tableStyleElement type="secondRowStripe" dxfId="158"/>
    </tableStyle>
    <tableStyle name="DATA_DRAFT (EVALUATION)-style 31" pivot="0" count="2" xr9:uid="{00000000-0011-0000-FFFF-FFFFFB000000}">
      <tableStyleElement type="firstRowStripe" dxfId="157"/>
      <tableStyleElement type="secondRowStripe" dxfId="156"/>
    </tableStyle>
    <tableStyle name="DATA_DRAFT (EVALUATION)-style 32" pivot="0" count="2" xr9:uid="{00000000-0011-0000-FFFF-FFFFFC000000}">
      <tableStyleElement type="firstRowStripe" dxfId="155"/>
      <tableStyleElement type="secondRowStripe" dxfId="154"/>
    </tableStyle>
    <tableStyle name="DATA_DRAFT (EVALUATION)-style 33" pivot="0" count="2" xr9:uid="{00000000-0011-0000-FFFF-FFFFFD000000}">
      <tableStyleElement type="firstRowStripe" dxfId="153"/>
      <tableStyleElement type="secondRowStripe" dxfId="152"/>
    </tableStyle>
    <tableStyle name="DATA_DRAFT (EVALUATION)-style 34" pivot="0" count="2" xr9:uid="{00000000-0011-0000-FFFF-FFFFFE000000}">
      <tableStyleElement type="firstRowStripe" dxfId="151"/>
      <tableStyleElement type="secondRowStripe" dxfId="150"/>
    </tableStyle>
    <tableStyle name="DATA_DRAFT (EVALUATION)-style 35" pivot="0" count="2" xr9:uid="{00000000-0011-0000-FFFF-FFFFFF000000}">
      <tableStyleElement type="firstRowStripe" dxfId="149"/>
      <tableStyleElement type="secondRowStripe" dxfId="148"/>
    </tableStyle>
    <tableStyle name="DATA_DRAFT (EVALUATION)-style 36" pivot="0" count="2" xr9:uid="{00000000-0011-0000-FFFF-FFFF00010000}">
      <tableStyleElement type="firstRowStripe" dxfId="147"/>
      <tableStyleElement type="secondRowStripe" dxfId="146"/>
    </tableStyle>
    <tableStyle name="DATA_DRAFT (EVALUATION)-style 37" pivot="0" count="2" xr9:uid="{00000000-0011-0000-FFFF-FFFF01010000}">
      <tableStyleElement type="firstRowStripe" dxfId="145"/>
      <tableStyleElement type="secondRowStripe" dxfId="144"/>
    </tableStyle>
    <tableStyle name="DATA_DRAFT (EVALUATION)-style 38" pivot="0" count="2" xr9:uid="{00000000-0011-0000-FFFF-FFFF02010000}">
      <tableStyleElement type="firstRowStripe" dxfId="143"/>
      <tableStyleElement type="secondRowStripe" dxfId="142"/>
    </tableStyle>
    <tableStyle name="DATA_DRAFT (EVALUATION)-style 39" pivot="0" count="2" xr9:uid="{00000000-0011-0000-FFFF-FFFF03010000}">
      <tableStyleElement type="firstRowStripe" dxfId="141"/>
      <tableStyleElement type="secondRowStripe" dxfId="140"/>
    </tableStyle>
    <tableStyle name="DATA_DRAFT (EVALUATION)-style 40" pivot="0" count="2" xr9:uid="{00000000-0011-0000-FFFF-FFFF04010000}">
      <tableStyleElement type="firstRowStripe" dxfId="139"/>
      <tableStyleElement type="secondRowStripe" dxfId="138"/>
    </tableStyle>
    <tableStyle name="DATA_DRAFT (EVALUATION)-style 41" pivot="0" count="2" xr9:uid="{00000000-0011-0000-FFFF-FFFF05010000}">
      <tableStyleElement type="firstRowStripe" dxfId="137"/>
      <tableStyleElement type="secondRowStripe" dxfId="136"/>
    </tableStyle>
    <tableStyle name="DATA_DRAFT (EVALUATION)-style 42" pivot="0" count="2" xr9:uid="{00000000-0011-0000-FFFF-FFFF06010000}">
      <tableStyleElement type="firstRowStripe" dxfId="135"/>
      <tableStyleElement type="secondRowStripe" dxfId="134"/>
    </tableStyle>
    <tableStyle name="DATA_DRAFT (EVALUATION)-style 43" pivot="0" count="2" xr9:uid="{00000000-0011-0000-FFFF-FFFF07010000}">
      <tableStyleElement type="firstRowStripe" dxfId="133"/>
      <tableStyleElement type="secondRowStripe" dxfId="132"/>
    </tableStyle>
    <tableStyle name="DATA_DRAFT (EVALUATION)-style 44" pivot="0" count="2" xr9:uid="{00000000-0011-0000-FFFF-FFFF08010000}">
      <tableStyleElement type="firstRowStripe" dxfId="131"/>
      <tableStyleElement type="secondRowStripe" dxfId="130"/>
    </tableStyle>
    <tableStyle name="DATA_DRAFT (EVALUATION)-style 45" pivot="0" count="2" xr9:uid="{00000000-0011-0000-FFFF-FFFF09010000}">
      <tableStyleElement type="firstRowStripe" dxfId="129"/>
      <tableStyleElement type="secondRowStripe" dxfId="128"/>
    </tableStyle>
    <tableStyle name="DATA_DRAFT (EVALUATION)-style 46" pivot="0" count="2" xr9:uid="{00000000-0011-0000-FFFF-FFFF0A010000}">
      <tableStyleElement type="firstRowStripe" dxfId="127"/>
      <tableStyleElement type="secondRowStripe" dxfId="126"/>
    </tableStyle>
    <tableStyle name="DATA_DRAFT (EVALUATION)-style 47" pivot="0" count="2" xr9:uid="{00000000-0011-0000-FFFF-FFFF0B010000}">
      <tableStyleElement type="firstRowStripe" dxfId="125"/>
      <tableStyleElement type="secondRowStripe" dxfId="124"/>
    </tableStyle>
    <tableStyle name="DATA_DRAFT (EVALUATION)-style 48" pivot="0" count="2" xr9:uid="{00000000-0011-0000-FFFF-FFFF0C010000}">
      <tableStyleElement type="firstRowStripe" dxfId="123"/>
      <tableStyleElement type="secondRowStripe" dxfId="122"/>
    </tableStyle>
    <tableStyle name="DATA_DRAFT (EVALUATION)-style 49" pivot="0" count="2" xr9:uid="{00000000-0011-0000-FFFF-FFFF0D010000}">
      <tableStyleElement type="firstRowStripe" dxfId="121"/>
      <tableStyleElement type="secondRowStripe" dxfId="120"/>
    </tableStyle>
    <tableStyle name="DATA_DRAFT (EVALUATION)-style 50" pivot="0" count="2" xr9:uid="{00000000-0011-0000-FFFF-FFFF0E010000}">
      <tableStyleElement type="firstRowStripe" dxfId="119"/>
      <tableStyleElement type="secondRowStripe" dxfId="118"/>
    </tableStyle>
    <tableStyle name="DATA_DRAFT (EVALUATION)-style 51" pivot="0" count="2" xr9:uid="{00000000-0011-0000-FFFF-FFFF0F010000}">
      <tableStyleElement type="firstRowStripe" dxfId="117"/>
      <tableStyleElement type="secondRowStripe" dxfId="116"/>
    </tableStyle>
    <tableStyle name="DATA_DRAFT (EVALUATION)-style 52" pivot="0" count="2" xr9:uid="{00000000-0011-0000-FFFF-FFFF10010000}">
      <tableStyleElement type="firstRowStripe" dxfId="115"/>
      <tableStyleElement type="secondRowStripe" dxfId="114"/>
    </tableStyle>
    <tableStyle name="DATA_DRAFT (EVALUATION)-style 53" pivot="0" count="2" xr9:uid="{00000000-0011-0000-FFFF-FFFF11010000}">
      <tableStyleElement type="firstRowStripe" dxfId="113"/>
      <tableStyleElement type="secondRowStripe" dxfId="112"/>
    </tableStyle>
    <tableStyle name="DATA_DRAFT (EVALUATION)-style 54" pivot="0" count="2" xr9:uid="{00000000-0011-0000-FFFF-FFFF12010000}">
      <tableStyleElement type="firstRowStripe" dxfId="111"/>
      <tableStyleElement type="secondRowStripe" dxfId="110"/>
    </tableStyle>
    <tableStyle name="DATA_DRAFT (EVALUATION)-style 55" pivot="0" count="2" xr9:uid="{00000000-0011-0000-FFFF-FFFF13010000}">
      <tableStyleElement type="firstRowStripe" dxfId="109"/>
      <tableStyleElement type="secondRowStripe" dxfId="108"/>
    </tableStyle>
    <tableStyle name="DATA_DRAFT (EVALUATION)-style 56" pivot="0" count="2" xr9:uid="{00000000-0011-0000-FFFF-FFFF14010000}">
      <tableStyleElement type="firstRowStripe" dxfId="107"/>
      <tableStyleElement type="secondRowStripe" dxfId="106"/>
    </tableStyle>
    <tableStyle name="DATA_DRAFT (EVALUATION)-style 57" pivot="0" count="2" xr9:uid="{00000000-0011-0000-FFFF-FFFF15010000}">
      <tableStyleElement type="firstRowStripe" dxfId="105"/>
      <tableStyleElement type="secondRowStripe" dxfId="104"/>
    </tableStyle>
    <tableStyle name="DATA_DRAFT (EVALUATION)-style 58" pivot="0" count="2" xr9:uid="{00000000-0011-0000-FFFF-FFFF16010000}">
      <tableStyleElement type="firstRowStripe" dxfId="103"/>
      <tableStyleElement type="secondRowStripe" dxfId="102"/>
    </tableStyle>
    <tableStyle name="DATA_DRAFT (EVALUATION)-style 59" pivot="0" count="2" xr9:uid="{00000000-0011-0000-FFFF-FFFF17010000}">
      <tableStyleElement type="firstRowStripe" dxfId="101"/>
      <tableStyleElement type="secondRowStripe" dxfId="100"/>
    </tableStyle>
    <tableStyle name="DATA_DRAFT (EVALUATION)-style 60" pivot="0" count="2" xr9:uid="{00000000-0011-0000-FFFF-FFFF18010000}">
      <tableStyleElement type="firstRowStripe" dxfId="99"/>
      <tableStyleElement type="secondRowStripe" dxfId="98"/>
    </tableStyle>
    <tableStyle name="DATA_DRAFT (EVALUATION)-style 61" pivot="0" count="2" xr9:uid="{00000000-0011-0000-FFFF-FFFF19010000}">
      <tableStyleElement type="firstRowStripe" dxfId="97"/>
      <tableStyleElement type="secondRowStripe" dxfId="96"/>
    </tableStyle>
    <tableStyle name="DATA_DRAFT (EVALUATION)-style 62" pivot="0" count="2" xr9:uid="{00000000-0011-0000-FFFF-FFFF1A010000}">
      <tableStyleElement type="firstRowStripe" dxfId="95"/>
      <tableStyleElement type="secondRowStripe" dxfId="94"/>
    </tableStyle>
    <tableStyle name="DATA_DRAFT (EVALUATION)-style 63" pivot="0" count="2" xr9:uid="{00000000-0011-0000-FFFF-FFFF1B010000}">
      <tableStyleElement type="firstRowStripe" dxfId="93"/>
      <tableStyleElement type="secondRowStripe" dxfId="92"/>
    </tableStyle>
    <tableStyle name="DATA_DRAFT (EVALUATION)-style 64" pivot="0" count="2" xr9:uid="{00000000-0011-0000-FFFF-FFFF1C010000}">
      <tableStyleElement type="firstRowStripe" dxfId="91"/>
      <tableStyleElement type="secondRowStripe" dxfId="90"/>
    </tableStyle>
    <tableStyle name="DATA_DRAFT (EVALUATION)-style 65" pivot="0" count="2" xr9:uid="{00000000-0011-0000-FFFF-FFFF1D010000}">
      <tableStyleElement type="firstRowStripe" dxfId="89"/>
      <tableStyleElement type="secondRowStripe" dxfId="88"/>
    </tableStyle>
    <tableStyle name="DATA_DRAFT (EVALUATION)-style 66" pivot="0" count="2" xr9:uid="{00000000-0011-0000-FFFF-FFFF1E010000}">
      <tableStyleElement type="firstRowStripe" dxfId="87"/>
      <tableStyleElement type="secondRowStripe" dxfId="86"/>
    </tableStyle>
    <tableStyle name="DATA_DRAFT (EVALUATION)-style 67" pivot="0" count="2" xr9:uid="{00000000-0011-0000-FFFF-FFFF1F010000}">
      <tableStyleElement type="firstRowStripe" dxfId="85"/>
      <tableStyleElement type="secondRowStripe" dxfId="84"/>
    </tableStyle>
    <tableStyle name="DATA_DRAFT (EVALUATION)-style 68" pivot="0" count="2" xr9:uid="{00000000-0011-0000-FFFF-FFFF20010000}">
      <tableStyleElement type="firstRowStripe" dxfId="83"/>
      <tableStyleElement type="secondRowStripe" dxfId="82"/>
    </tableStyle>
    <tableStyle name="DATA_DRAFT (EVALUATION)-style 69" pivot="0" count="2" xr9:uid="{00000000-0011-0000-FFFF-FFFF21010000}">
      <tableStyleElement type="firstRowStripe" dxfId="81"/>
      <tableStyleElement type="secondRowStripe" dxfId="80"/>
    </tableStyle>
    <tableStyle name="DATA_DRAFT (EVALUATION)-style 70" pivot="0" count="2" xr9:uid="{00000000-0011-0000-FFFF-FFFF22010000}">
      <tableStyleElement type="firstRowStripe" dxfId="79"/>
      <tableStyleElement type="secondRowStripe" dxfId="78"/>
    </tableStyle>
    <tableStyle name="DATA_DRAFT (EVALUATION)-style 71" pivot="0" count="2" xr9:uid="{00000000-0011-0000-FFFF-FFFF23010000}">
      <tableStyleElement type="firstRowStripe" dxfId="77"/>
      <tableStyleElement type="secondRowStripe" dxfId="76"/>
    </tableStyle>
    <tableStyle name="DATA_DRAFT (EVALUATION)-style 72" pivot="0" count="2" xr9:uid="{00000000-0011-0000-FFFF-FFFF24010000}">
      <tableStyleElement type="firstRowStripe" dxfId="75"/>
      <tableStyleElement type="secondRowStripe" dxfId="74"/>
    </tableStyle>
    <tableStyle name="DATA_DRAFT (EVALUATION)-style 73" pivot="0" count="2" xr9:uid="{00000000-0011-0000-FFFF-FFFF25010000}">
      <tableStyleElement type="firstRowStripe" dxfId="73"/>
      <tableStyleElement type="secondRowStripe" dxfId="72"/>
    </tableStyle>
    <tableStyle name="DATA_DRAFT (EVALUATION)-style 74" pivot="0" count="2" xr9:uid="{00000000-0011-0000-FFFF-FFFF26010000}">
      <tableStyleElement type="firstRowStripe" dxfId="71"/>
      <tableStyleElement type="secondRowStripe" dxfId="70"/>
    </tableStyle>
    <tableStyle name="DATA_DRAFT (EVALUATION)-style 75" pivot="0" count="2" xr9:uid="{00000000-0011-0000-FFFF-FFFF27010000}">
      <tableStyleElement type="firstRowStripe" dxfId="69"/>
      <tableStyleElement type="secondRowStripe" dxfId="68"/>
    </tableStyle>
    <tableStyle name="DATA_DRAFT (EVALUATION)-style 76" pivot="0" count="2" xr9:uid="{00000000-0011-0000-FFFF-FFFF28010000}">
      <tableStyleElement type="firstRowStripe" dxfId="67"/>
      <tableStyleElement type="secondRowStripe" dxfId="66"/>
    </tableStyle>
    <tableStyle name="DATA_DRAFT (EVALUATION)-style 77" pivot="0" count="2" xr9:uid="{00000000-0011-0000-FFFF-FFFF29010000}">
      <tableStyleElement type="firstRowStripe" dxfId="65"/>
      <tableStyleElement type="secondRowStripe" dxfId="64"/>
    </tableStyle>
    <tableStyle name="DATA_DRAFT (EVALUATION)-style 78" pivot="0" count="2" xr9:uid="{00000000-0011-0000-FFFF-FFFF2A010000}">
      <tableStyleElement type="firstRowStripe" dxfId="63"/>
      <tableStyleElement type="secondRowStripe" dxfId="62"/>
    </tableStyle>
    <tableStyle name="DATA_DRAFT (EVALUATION)-style 79" pivot="0" count="2" xr9:uid="{00000000-0011-0000-FFFF-FFFF2B010000}">
      <tableStyleElement type="firstRowStripe" dxfId="61"/>
      <tableStyleElement type="secondRowStripe" dxfId="60"/>
    </tableStyle>
    <tableStyle name="DATA_DRAFT (EVALUATION)-style 80" pivot="0" count="2" xr9:uid="{00000000-0011-0000-FFFF-FFFF2C010000}">
      <tableStyleElement type="firstRowStripe" dxfId="59"/>
      <tableStyleElement type="secondRowStripe" dxfId="58"/>
    </tableStyle>
    <tableStyle name="DATA_DRAFT (EVALUATION)-style 81" pivot="0" count="2" xr9:uid="{00000000-0011-0000-FFFF-FFFF2D010000}">
      <tableStyleElement type="firstRowStripe" dxfId="57"/>
      <tableStyleElement type="secondRowStripe" dxfId="56"/>
    </tableStyle>
    <tableStyle name="DATA_DRAFT (EVALUATION)-style 82" pivot="0" count="2" xr9:uid="{00000000-0011-0000-FFFF-FFFF2E010000}">
      <tableStyleElement type="firstRowStripe" dxfId="55"/>
      <tableStyleElement type="secondRowStripe" dxfId="54"/>
    </tableStyle>
    <tableStyle name="DATA_DRAFT (EVALUATION)-style 83" pivot="0" count="2" xr9:uid="{00000000-0011-0000-FFFF-FFFF2F010000}">
      <tableStyleElement type="firstRowStripe" dxfId="53"/>
      <tableStyleElement type="secondRowStripe" dxfId="52"/>
    </tableStyle>
    <tableStyle name="DATA_DRAFT (EVALUATION)-style 84" pivot="0" count="2" xr9:uid="{00000000-0011-0000-FFFF-FFFF30010000}">
      <tableStyleElement type="firstRowStripe" dxfId="51"/>
      <tableStyleElement type="secondRowStripe" dxfId="50"/>
    </tableStyle>
    <tableStyle name="DATA_DRAFT (EVALUATION)-style 85" pivot="0" count="2" xr9:uid="{00000000-0011-0000-FFFF-FFFF31010000}">
      <tableStyleElement type="firstRowStripe" dxfId="49"/>
      <tableStyleElement type="secondRowStripe" dxfId="48"/>
    </tableStyle>
    <tableStyle name="DATA_DRAFT (EVALUATION)-style 86" pivot="0" count="2" xr9:uid="{00000000-0011-0000-FFFF-FFFF32010000}">
      <tableStyleElement type="firstRowStripe" dxfId="47"/>
      <tableStyleElement type="secondRowStripe" dxfId="46"/>
    </tableStyle>
    <tableStyle name="DATA_DRAFT (EVALUATION)-style 87" pivot="0" count="2" xr9:uid="{00000000-0011-0000-FFFF-FFFF33010000}">
      <tableStyleElement type="firstRowStripe" dxfId="45"/>
      <tableStyleElement type="secondRowStripe" dxfId="44"/>
    </tableStyle>
    <tableStyle name="DATA_DRAFT (EVALUATION)-style 88" pivot="0" count="2" xr9:uid="{00000000-0011-0000-FFFF-FFFF34010000}">
      <tableStyleElement type="firstRowStripe" dxfId="43"/>
      <tableStyleElement type="secondRowStripe" dxfId="42"/>
    </tableStyle>
    <tableStyle name="DATA_DRAFT (EVALUATION)-style 89" pivot="0" count="2" xr9:uid="{00000000-0011-0000-FFFF-FFFF35010000}">
      <tableStyleElement type="firstRowStripe" dxfId="41"/>
      <tableStyleElement type="secondRowStripe" dxfId="40"/>
    </tableStyle>
    <tableStyle name="DATA_DRAFT (EVALUATION)-style 90" pivot="0" count="2" xr9:uid="{00000000-0011-0000-FFFF-FFFF36010000}">
      <tableStyleElement type="firstRowStripe" dxfId="39"/>
      <tableStyleElement type="secondRowStripe" dxfId="38"/>
    </tableStyle>
    <tableStyle name="DATA_DRAFT (EVALUATION)-style 91" pivot="0" count="2" xr9:uid="{00000000-0011-0000-FFFF-FFFF37010000}">
      <tableStyleElement type="firstRowStripe" dxfId="37"/>
      <tableStyleElement type="secondRowStripe" dxfId="36"/>
    </tableStyle>
    <tableStyle name="DATA_DRAFT (EVALUATION)-style 92" pivot="0" count="2" xr9:uid="{00000000-0011-0000-FFFF-FFFF38010000}">
      <tableStyleElement type="firstRowStripe" dxfId="35"/>
      <tableStyleElement type="secondRowStripe" dxfId="34"/>
    </tableStyle>
    <tableStyle name="DATA_DRAFT (EVALUATION)-style 93" pivot="0" count="2" xr9:uid="{00000000-0011-0000-FFFF-FFFF39010000}">
      <tableStyleElement type="firstRowStripe" dxfId="33"/>
      <tableStyleElement type="secondRowStripe" dxfId="32"/>
    </tableStyle>
    <tableStyle name="DATA_DRAFT (EVALUATION)-style 94" pivot="0" count="2" xr9:uid="{00000000-0011-0000-FFFF-FFFF3A010000}">
      <tableStyleElement type="firstRowStripe" dxfId="31"/>
      <tableStyleElement type="secondRowStripe" dxfId="30"/>
    </tableStyle>
    <tableStyle name="DATA_DRAFT (EVALUATION)-style 95" pivot="0" count="2" xr9:uid="{00000000-0011-0000-FFFF-FFFF3B010000}">
      <tableStyleElement type="firstRowStripe" dxfId="29"/>
      <tableStyleElement type="secondRowStripe" dxfId="28"/>
    </tableStyle>
    <tableStyle name="DATA_DRAFT (EVALUATION)-style 96" pivot="0" count="2" xr9:uid="{00000000-0011-0000-FFFF-FFFF3C010000}">
      <tableStyleElement type="firstRowStripe" dxfId="27"/>
      <tableStyleElement type="secondRowStripe" dxfId="26"/>
    </tableStyle>
    <tableStyle name="DATA_DRAFT (EVALUATION)-style 97" pivot="0" count="2" xr9:uid="{00000000-0011-0000-FFFF-FFFF3D010000}">
      <tableStyleElement type="firstRowStripe" dxfId="25"/>
      <tableStyleElement type="secondRowStripe" dxfId="24"/>
    </tableStyle>
    <tableStyle name="DATA_DRAFT (EVALUATION)-style 98" pivot="0" count="2" xr9:uid="{00000000-0011-0000-FFFF-FFFF3E010000}">
      <tableStyleElement type="firstRowStripe" dxfId="23"/>
      <tableStyleElement type="secondRowStripe" dxfId="22"/>
    </tableStyle>
    <tableStyle name="DATA_DRAFT (EVALUATION)-style 99" pivot="0" count="2" xr9:uid="{00000000-0011-0000-FFFF-FFFF3F010000}">
      <tableStyleElement type="firstRowStripe" dxfId="21"/>
      <tableStyleElement type="secondRowStripe" dxfId="20"/>
    </tableStyle>
    <tableStyle name="DATA_DRAFT (EVALUATION)-style 100" pivot="0" count="2" xr9:uid="{00000000-0011-0000-FFFF-FFFF40010000}">
      <tableStyleElement type="firstRowStripe" dxfId="19"/>
      <tableStyleElement type="secondRowStripe" dxfId="18"/>
    </tableStyle>
    <tableStyle name="DATA_DRAFT (EVALUATION)-style 101" pivot="0" count="2" xr9:uid="{00000000-0011-0000-FFFF-FFFF41010000}">
      <tableStyleElement type="firstRowStripe" dxfId="17"/>
      <tableStyleElement type="secondRowStripe" dxfId="16"/>
    </tableStyle>
    <tableStyle name="DATA_DRAFT (EVALUATION)-style 102" pivot="0" count="2" xr9:uid="{00000000-0011-0000-FFFF-FFFF42010000}">
      <tableStyleElement type="firstRowStripe" dxfId="15"/>
      <tableStyleElement type="secondRowStripe" dxfId="14"/>
    </tableStyle>
    <tableStyle name="DATA_DRAFT (EVALUATION)-style 103" pivot="0" count="2" xr9:uid="{00000000-0011-0000-FFFF-FFFF43010000}">
      <tableStyleElement type="firstRowStripe" dxfId="13"/>
      <tableStyleElement type="secondRowStripe" dxfId="12"/>
    </tableStyle>
    <tableStyle name="DATA_DRAFT (EVALUATION)-style 104" pivot="0" count="2" xr9:uid="{00000000-0011-0000-FFFF-FFFF44010000}">
      <tableStyleElement type="firstRowStripe" dxfId="11"/>
      <tableStyleElement type="secondRowStripe" dxfId="10"/>
    </tableStyle>
    <tableStyle name="DATA_DRAFT (EVALUATION)-style 105" pivot="0" count="2" xr9:uid="{00000000-0011-0000-FFFF-FFFF45010000}">
      <tableStyleElement type="firstRowStripe" dxfId="9"/>
      <tableStyleElement type="secondRowStripe" dxfId="8"/>
    </tableStyle>
    <tableStyle name="DATA_DRAFT (EVALUATION)-style 106" pivot="0" count="2" xr9:uid="{00000000-0011-0000-FFFF-FFFF46010000}">
      <tableStyleElement type="firstRowStripe" dxfId="7"/>
      <tableStyleElement type="secondRowStripe" dxfId="6"/>
    </tableStyle>
    <tableStyle name="DATA_DRAFT (EVALUATION)-style 107" pivot="0" count="2" xr9:uid="{00000000-0011-0000-FFFF-FFFF47010000}">
      <tableStyleElement type="firstRowStripe" dxfId="5"/>
      <tableStyleElement type="secondRowStripe" dxfId="4"/>
    </tableStyle>
    <tableStyle name="DATA_DRAFT (EVALUATION)-style 108" pivot="0" count="2" xr9:uid="{00000000-0011-0000-FFFF-FFFF48010000}">
      <tableStyleElement type="firstRowStripe" dxfId="3"/>
      <tableStyleElement type="secondRowStripe" dxfId="2"/>
    </tableStyle>
    <tableStyle name="DATA_DRAFT (EVALUATION)-style 109" pivot="0" count="2" xr9:uid="{00000000-0011-0000-FFFF-FFFF49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H112" headerRowCount="0">
  <tableColumns count="1">
    <tableColumn id="1" xr3:uid="{00000000-0010-0000-0100-000001000000}" name="Column1"/>
  </tableColumns>
  <tableStyleInfo name="2022 -2025 PRC DATA RECO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H113" headerRowCount="0">
  <tableColumns count="1">
    <tableColumn id="1" xr3:uid="{00000000-0010-0000-0200-000001000000}" name="Column1"/>
  </tableColumns>
  <tableStyleInfo name="2022 -2025 PRC DATA RECOR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H119" headerRowCount="0">
  <tableColumns count="1">
    <tableColumn id="1" xr3:uid="{00000000-0010-0000-0300-000001000000}" name="Column1"/>
  </tableColumns>
  <tableStyleInfo name="2022 -2025 PRC DATA RECOR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H120" headerRowCount="0">
  <tableColumns count="1">
    <tableColumn id="1" xr3:uid="{00000000-0010-0000-0400-000001000000}" name="Column1"/>
  </tableColumns>
  <tableStyleInfo name="2022 -2025 PRC DATA RECORD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H122" headerRowCount="0">
  <tableColumns count="1">
    <tableColumn id="1" xr3:uid="{00000000-0010-0000-0500-000001000000}" name="Column1"/>
  </tableColumns>
  <tableStyleInfo name="2022 -2025 PRC DATA RECORD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H123" headerRowCount="0">
  <tableColumns count="1">
    <tableColumn id="1" xr3:uid="{00000000-0010-0000-0600-000001000000}" name="Column1"/>
  </tableColumns>
  <tableStyleInfo name="2022 -2025 PRC DATA RECORD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H124" headerRowCount="0">
  <tableColumns count="1">
    <tableColumn id="1" xr3:uid="{00000000-0010-0000-0700-000001000000}" name="Column1"/>
  </tableColumns>
  <tableStyleInfo name="2022 -2025 PRC DATA RECORD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H134" headerRowCount="0">
  <tableColumns count="1">
    <tableColumn id="1" xr3:uid="{00000000-0010-0000-0800-000001000000}" name="Column1"/>
  </tableColumns>
  <tableStyleInfo name="2022 -2025 PRC DATA RECORD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H162" headerRowCount="0">
  <tableColumns count="1">
    <tableColumn id="1" xr3:uid="{00000000-0010-0000-0900-000001000000}" name="Column1"/>
  </tableColumns>
  <tableStyleInfo name="2022 -2025 PRC DATA RECORD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H170" headerRowCount="0">
  <tableColumns count="1">
    <tableColumn id="1" xr3:uid="{00000000-0010-0000-0A00-000001000000}" name="Column1"/>
  </tableColumns>
  <tableStyleInfo name="2022 -2025 PRC DATA RECORD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H173" headerRowCount="0">
  <tableColumns count="1">
    <tableColumn id="1" xr3:uid="{00000000-0010-0000-0B00-000001000000}" name="Column1"/>
  </tableColumns>
  <tableStyleInfo name="2022 -2025 PRC DATA RECORD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H178" headerRowCount="0">
  <tableColumns count="1">
    <tableColumn id="1" xr3:uid="{00000000-0010-0000-0C00-000001000000}" name="Column1"/>
  </tableColumns>
  <tableStyleInfo name="2022 -2025 PRC DATA RECORD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H182" headerRowCount="0">
  <tableColumns count="1">
    <tableColumn id="1" xr3:uid="{00000000-0010-0000-0D00-000001000000}" name="Column1"/>
  </tableColumns>
  <tableStyleInfo name="2022 -2025 PRC DATA RECORD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H195" headerRowCount="0">
  <tableColumns count="1">
    <tableColumn id="1" xr3:uid="{00000000-0010-0000-0E00-000001000000}" name="Column1"/>
  </tableColumns>
  <tableStyleInfo name="2022 -2025 PRC DATA RECORD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H204" headerRowCount="0">
  <tableColumns count="1">
    <tableColumn id="1" xr3:uid="{00000000-0010-0000-0F00-000001000000}" name="Column1"/>
  </tableColumns>
  <tableStyleInfo name="2022 -2025 PRC DATA RECORD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H206" headerRowCount="0">
  <tableColumns count="1">
    <tableColumn id="1" xr3:uid="{00000000-0010-0000-1000-000001000000}" name="Column1"/>
  </tableColumns>
  <tableStyleInfo name="2022 -2025 PRC DATA RECORD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H244" headerRowCount="0">
  <tableColumns count="1">
    <tableColumn id="1" xr3:uid="{00000000-0010-0000-1100-000001000000}" name="Column1"/>
  </tableColumns>
  <tableStyleInfo name="2022 -2025 PRC DATA RECORD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H252:H253" headerRowCount="0">
  <tableColumns count="1">
    <tableColumn id="1" xr3:uid="{00000000-0010-0000-1200-000001000000}" name="Column1"/>
  </tableColumns>
  <tableStyleInfo name="2022 -2025 PRC DATA RECORD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H265" headerRowCount="0">
  <tableColumns count="1">
    <tableColumn id="1" xr3:uid="{00000000-0010-0000-1300-000001000000}" name="Column1"/>
  </tableColumns>
  <tableStyleInfo name="2022 -2025 PRC DATA RECORD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H273" headerRowCount="0">
  <tableColumns count="1">
    <tableColumn id="1" xr3:uid="{00000000-0010-0000-1400-000001000000}" name="Column1"/>
  </tableColumns>
  <tableStyleInfo name="2022 -2025 PRC DATA RECORD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H285" headerRowCount="0">
  <tableColumns count="1">
    <tableColumn id="1" xr3:uid="{00000000-0010-0000-1500-000001000000}" name="Column1"/>
  </tableColumns>
  <tableStyleInfo name="2022 -2025 PRC DATA RECORD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H296" headerRowCount="0">
  <tableColumns count="1">
    <tableColumn id="1" xr3:uid="{00000000-0010-0000-1600-000001000000}" name="Column1"/>
  </tableColumns>
  <tableStyleInfo name="2022 -2025 PRC DATA RECORD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H308" headerRowCount="0">
  <tableColumns count="1">
    <tableColumn id="1" xr3:uid="{00000000-0010-0000-1700-000001000000}" name="Column1"/>
  </tableColumns>
  <tableStyleInfo name="2022 -2025 PRC DATA RECORD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H310" headerRowCount="0">
  <tableColumns count="1">
    <tableColumn id="1" xr3:uid="{00000000-0010-0000-1800-000001000000}" name="Column1"/>
  </tableColumns>
  <tableStyleInfo name="2022 -2025 PRC DATA RECORD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H314" headerRowCount="0">
  <tableColumns count="1">
    <tableColumn id="1" xr3:uid="{00000000-0010-0000-1900-000001000000}" name="Column1"/>
  </tableColumns>
  <tableStyleInfo name="2022 -2025 PRC DATA RECORD-style 2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4"/>
  <sheetViews>
    <sheetView tabSelected="1" workbookViewId="0">
      <selection activeCell="N325" sqref="N325"/>
    </sheetView>
  </sheetViews>
  <sheetFormatPr defaultColWidth="12.5703125" defaultRowHeight="15.75" customHeight="1" x14ac:dyDescent="0.2"/>
  <cols>
    <col min="1" max="1" width="30" customWidth="1"/>
    <col min="6" max="6" width="21.28515625" customWidth="1"/>
    <col min="8" max="8" width="14.7109375" bestFit="1" customWidth="1"/>
  </cols>
  <sheetData>
    <row r="1" spans="1:8" x14ac:dyDescent="0.2">
      <c r="A1" s="1" t="s">
        <v>6</v>
      </c>
      <c r="B1" s="2" t="s">
        <v>7</v>
      </c>
      <c r="C1" s="2" t="s">
        <v>8</v>
      </c>
      <c r="D1" s="2" t="s">
        <v>9</v>
      </c>
      <c r="E1" s="3" t="s">
        <v>4</v>
      </c>
      <c r="F1" s="4" t="s">
        <v>10</v>
      </c>
      <c r="G1" s="5" t="s">
        <v>11</v>
      </c>
      <c r="H1" s="5" t="s">
        <v>5</v>
      </c>
    </row>
    <row r="2" spans="1:8" ht="15.75" customHeight="1" x14ac:dyDescent="0.25">
      <c r="A2" s="6" t="s">
        <v>12</v>
      </c>
      <c r="B2" s="5">
        <v>84</v>
      </c>
      <c r="C2" s="5">
        <v>76</v>
      </c>
      <c r="D2" s="5">
        <v>67</v>
      </c>
      <c r="E2" s="7">
        <v>73.95</v>
      </c>
      <c r="F2" s="8" t="str">
        <f t="shared" ref="F2:F39" si="0">IF(E2&gt;=70,"PASSED", "---")</f>
        <v>PASSED</v>
      </c>
      <c r="G2" s="9">
        <v>2.21</v>
      </c>
      <c r="H2" s="10">
        <v>44652</v>
      </c>
    </row>
    <row r="3" spans="1:8" x14ac:dyDescent="0.2">
      <c r="A3" s="11" t="s">
        <v>13</v>
      </c>
      <c r="B3" s="5">
        <v>71</v>
      </c>
      <c r="C3" s="5">
        <v>76</v>
      </c>
      <c r="D3" s="5">
        <v>69</v>
      </c>
      <c r="E3" s="7">
        <v>71.599999999999994</v>
      </c>
      <c r="F3" s="8" t="str">
        <f t="shared" si="0"/>
        <v>PASSED</v>
      </c>
      <c r="G3" s="9">
        <v>2.17</v>
      </c>
      <c r="H3" s="10">
        <v>44652</v>
      </c>
    </row>
    <row r="4" spans="1:8" x14ac:dyDescent="0.2">
      <c r="A4" s="11" t="s">
        <v>14</v>
      </c>
      <c r="B4" s="5">
        <v>86</v>
      </c>
      <c r="C4" s="5">
        <v>80</v>
      </c>
      <c r="D4" s="5">
        <v>74</v>
      </c>
      <c r="E4" s="7">
        <v>78.8</v>
      </c>
      <c r="F4" s="8" t="str">
        <f t="shared" si="0"/>
        <v>PASSED</v>
      </c>
      <c r="G4" s="9">
        <v>2.81</v>
      </c>
      <c r="H4" s="10">
        <v>44652</v>
      </c>
    </row>
    <row r="5" spans="1:8" x14ac:dyDescent="0.2">
      <c r="A5" s="11" t="s">
        <v>15</v>
      </c>
      <c r="B5" s="5">
        <v>82</v>
      </c>
      <c r="C5" s="5">
        <v>78</v>
      </c>
      <c r="D5" s="5">
        <v>70</v>
      </c>
      <c r="E5" s="7">
        <v>75.400000000000006</v>
      </c>
      <c r="F5" s="8" t="str">
        <f t="shared" si="0"/>
        <v>PASSED</v>
      </c>
      <c r="G5" s="9">
        <v>2.52</v>
      </c>
      <c r="H5" s="10">
        <v>44652</v>
      </c>
    </row>
    <row r="6" spans="1:8" x14ac:dyDescent="0.2">
      <c r="A6" s="11" t="s">
        <v>16</v>
      </c>
      <c r="B6" s="5">
        <v>77</v>
      </c>
      <c r="C6" s="5">
        <v>71</v>
      </c>
      <c r="D6" s="5">
        <v>69</v>
      </c>
      <c r="E6" s="7">
        <v>71.599999999999994</v>
      </c>
      <c r="F6" s="8" t="str">
        <f t="shared" si="0"/>
        <v>PASSED</v>
      </c>
      <c r="G6" s="9">
        <v>2.0699999999999998</v>
      </c>
      <c r="H6" s="10">
        <v>44652</v>
      </c>
    </row>
    <row r="7" spans="1:8" x14ac:dyDescent="0.2">
      <c r="A7" s="11" t="s">
        <v>17</v>
      </c>
      <c r="B7" s="5">
        <v>87</v>
      </c>
      <c r="C7" s="5">
        <v>81</v>
      </c>
      <c r="D7" s="5">
        <v>75</v>
      </c>
      <c r="E7" s="7">
        <v>79.8</v>
      </c>
      <c r="F7" s="8" t="str">
        <f t="shared" si="0"/>
        <v>PASSED</v>
      </c>
      <c r="G7" s="9">
        <v>2.81</v>
      </c>
      <c r="H7" s="10">
        <v>44652</v>
      </c>
    </row>
    <row r="8" spans="1:8" x14ac:dyDescent="0.2">
      <c r="A8" s="11" t="s">
        <v>18</v>
      </c>
      <c r="B8" s="5">
        <v>90</v>
      </c>
      <c r="C8" s="5">
        <v>79</v>
      </c>
      <c r="D8" s="5">
        <v>70</v>
      </c>
      <c r="E8" s="7">
        <v>77.7</v>
      </c>
      <c r="F8" s="8" t="str">
        <f t="shared" si="0"/>
        <v>PASSED</v>
      </c>
      <c r="G8" s="9">
        <v>2.78</v>
      </c>
      <c r="H8" s="10">
        <v>44652</v>
      </c>
    </row>
    <row r="9" spans="1:8" x14ac:dyDescent="0.2">
      <c r="A9" s="11" t="s">
        <v>19</v>
      </c>
      <c r="B9" s="5">
        <v>93</v>
      </c>
      <c r="C9" s="5">
        <v>86</v>
      </c>
      <c r="D9" s="5">
        <v>75</v>
      </c>
      <c r="E9" s="7">
        <v>82.9</v>
      </c>
      <c r="F9" s="8" t="str">
        <f t="shared" si="0"/>
        <v>PASSED</v>
      </c>
      <c r="G9" s="9">
        <v>2.52</v>
      </c>
      <c r="H9" s="10">
        <v>44652</v>
      </c>
    </row>
    <row r="10" spans="1:8" x14ac:dyDescent="0.2">
      <c r="A10" s="11" t="s">
        <v>20</v>
      </c>
      <c r="B10" s="5">
        <v>86</v>
      </c>
      <c r="C10" s="5">
        <v>77</v>
      </c>
      <c r="D10" s="5">
        <v>70</v>
      </c>
      <c r="E10" s="7">
        <v>76.099999999999994</v>
      </c>
      <c r="F10" s="8" t="str">
        <f t="shared" si="0"/>
        <v>PASSED</v>
      </c>
      <c r="G10" s="9">
        <v>2.13</v>
      </c>
      <c r="H10" s="10">
        <v>44652</v>
      </c>
    </row>
    <row r="11" spans="1:8" x14ac:dyDescent="0.2">
      <c r="A11" s="11" t="s">
        <v>21</v>
      </c>
      <c r="B11" s="5">
        <v>89</v>
      </c>
      <c r="C11" s="5">
        <v>86</v>
      </c>
      <c r="D11" s="5">
        <v>71</v>
      </c>
      <c r="E11" s="7">
        <v>80</v>
      </c>
      <c r="F11" s="8" t="str">
        <f t="shared" si="0"/>
        <v>PASSED</v>
      </c>
      <c r="G11" s="9">
        <v>1.62</v>
      </c>
      <c r="H11" s="10">
        <v>44652</v>
      </c>
    </row>
    <row r="12" spans="1:8" x14ac:dyDescent="0.2">
      <c r="A12" s="11" t="s">
        <v>22</v>
      </c>
      <c r="B12" s="5">
        <v>80</v>
      </c>
      <c r="C12" s="5">
        <v>81</v>
      </c>
      <c r="D12" s="5">
        <v>66</v>
      </c>
      <c r="E12" s="7">
        <v>74</v>
      </c>
      <c r="F12" s="8" t="str">
        <f t="shared" si="0"/>
        <v>PASSED</v>
      </c>
      <c r="G12" s="9">
        <v>1.78</v>
      </c>
      <c r="H12" s="10">
        <v>44652</v>
      </c>
    </row>
    <row r="13" spans="1:8" x14ac:dyDescent="0.2">
      <c r="A13" s="11" t="s">
        <v>23</v>
      </c>
      <c r="B13" s="5">
        <v>70</v>
      </c>
      <c r="C13" s="5">
        <v>70</v>
      </c>
      <c r="D13" s="5">
        <v>70</v>
      </c>
      <c r="E13" s="7">
        <v>70</v>
      </c>
      <c r="F13" s="8" t="str">
        <f t="shared" si="0"/>
        <v>PASSED</v>
      </c>
      <c r="G13" s="9">
        <v>2.8730000000000002</v>
      </c>
      <c r="H13" s="10">
        <v>44652</v>
      </c>
    </row>
    <row r="14" spans="1:8" x14ac:dyDescent="0.2">
      <c r="A14" s="11" t="s">
        <v>24</v>
      </c>
      <c r="B14" s="5">
        <v>81</v>
      </c>
      <c r="C14" s="5">
        <v>78</v>
      </c>
      <c r="D14" s="5">
        <v>71</v>
      </c>
      <c r="E14" s="7">
        <v>75.599999999999994</v>
      </c>
      <c r="F14" s="8" t="str">
        <f t="shared" si="0"/>
        <v>PASSED</v>
      </c>
      <c r="G14" s="9">
        <v>2.6230000000000002</v>
      </c>
      <c r="H14" s="10">
        <v>44652</v>
      </c>
    </row>
    <row r="15" spans="1:8" x14ac:dyDescent="0.2">
      <c r="A15" s="11" t="s">
        <v>25</v>
      </c>
      <c r="B15" s="5">
        <v>81</v>
      </c>
      <c r="C15" s="5">
        <v>80</v>
      </c>
      <c r="D15" s="5">
        <v>72</v>
      </c>
      <c r="E15" s="7">
        <v>76.650000000000006</v>
      </c>
      <c r="F15" s="8" t="str">
        <f t="shared" si="0"/>
        <v>PASSED</v>
      </c>
      <c r="G15" s="9">
        <v>2.62</v>
      </c>
      <c r="H15" s="10">
        <v>44652</v>
      </c>
    </row>
    <row r="16" spans="1:8" x14ac:dyDescent="0.2">
      <c r="A16" s="11" t="s">
        <v>26</v>
      </c>
      <c r="B16" s="5">
        <v>89</v>
      </c>
      <c r="C16" s="5">
        <v>77</v>
      </c>
      <c r="D16" s="5">
        <v>67</v>
      </c>
      <c r="E16" s="7">
        <v>75.5</v>
      </c>
      <c r="F16" s="8" t="str">
        <f t="shared" si="0"/>
        <v>PASSED</v>
      </c>
      <c r="G16" s="9">
        <v>2.15</v>
      </c>
      <c r="H16" s="10">
        <v>44652</v>
      </c>
    </row>
    <row r="17" spans="1:8" x14ac:dyDescent="0.2">
      <c r="A17" s="11" t="s">
        <v>27</v>
      </c>
      <c r="B17" s="5">
        <v>70</v>
      </c>
      <c r="C17" s="5">
        <v>70</v>
      </c>
      <c r="D17" s="5">
        <v>70</v>
      </c>
      <c r="E17" s="7">
        <v>70</v>
      </c>
      <c r="F17" s="8" t="str">
        <f t="shared" si="0"/>
        <v>PASSED</v>
      </c>
      <c r="G17" s="9">
        <v>2.4700000000000002</v>
      </c>
      <c r="H17" s="10">
        <v>44652</v>
      </c>
    </row>
    <row r="18" spans="1:8" x14ac:dyDescent="0.2">
      <c r="A18" s="11" t="s">
        <v>28</v>
      </c>
      <c r="B18" s="5">
        <v>83</v>
      </c>
      <c r="C18" s="5">
        <v>79</v>
      </c>
      <c r="D18" s="5">
        <v>75</v>
      </c>
      <c r="E18" s="7">
        <v>78.2</v>
      </c>
      <c r="F18" s="8" t="str">
        <f t="shared" si="0"/>
        <v>PASSED</v>
      </c>
      <c r="G18" s="9">
        <v>2.0903999999999998</v>
      </c>
      <c r="H18" s="10">
        <v>44652</v>
      </c>
    </row>
    <row r="19" spans="1:8" x14ac:dyDescent="0.2">
      <c r="A19" s="11" t="s">
        <v>29</v>
      </c>
      <c r="B19" s="5">
        <v>86</v>
      </c>
      <c r="C19" s="5">
        <v>87</v>
      </c>
      <c r="D19" s="5">
        <v>71</v>
      </c>
      <c r="E19" s="7">
        <v>79.55</v>
      </c>
      <c r="F19" s="8" t="str">
        <f t="shared" si="0"/>
        <v>PASSED</v>
      </c>
      <c r="G19" s="9">
        <v>1.67</v>
      </c>
      <c r="H19" s="10">
        <v>44652</v>
      </c>
    </row>
    <row r="20" spans="1:8" x14ac:dyDescent="0.2">
      <c r="A20" s="11" t="s">
        <v>30</v>
      </c>
      <c r="B20" s="5">
        <v>80</v>
      </c>
      <c r="C20" s="5">
        <v>77</v>
      </c>
      <c r="D20" s="5">
        <v>62</v>
      </c>
      <c r="E20" s="7">
        <v>71</v>
      </c>
      <c r="F20" s="8" t="str">
        <f t="shared" si="0"/>
        <v>PASSED</v>
      </c>
      <c r="G20" s="9">
        <v>2.1970000000000001</v>
      </c>
      <c r="H20" s="10">
        <v>44652</v>
      </c>
    </row>
    <row r="21" spans="1:8" x14ac:dyDescent="0.2">
      <c r="A21" s="11" t="s">
        <v>31</v>
      </c>
      <c r="B21" s="5">
        <v>83</v>
      </c>
      <c r="C21" s="5">
        <v>81</v>
      </c>
      <c r="D21" s="5">
        <v>71</v>
      </c>
      <c r="E21" s="7">
        <v>77</v>
      </c>
      <c r="F21" s="8" t="str">
        <f t="shared" si="0"/>
        <v>PASSED</v>
      </c>
      <c r="G21" s="9">
        <v>2.2799999999999998</v>
      </c>
      <c r="H21" s="10">
        <v>44652</v>
      </c>
    </row>
    <row r="22" spans="1:8" x14ac:dyDescent="0.2">
      <c r="A22" s="11" t="s">
        <v>32</v>
      </c>
      <c r="B22" s="5">
        <v>81</v>
      </c>
      <c r="C22" s="5">
        <v>78</v>
      </c>
      <c r="D22" s="5">
        <v>72</v>
      </c>
      <c r="E22" s="7">
        <v>76.5</v>
      </c>
      <c r="F22" s="8" t="str">
        <f t="shared" si="0"/>
        <v>PASSED</v>
      </c>
      <c r="G22" s="9">
        <v>1.972</v>
      </c>
      <c r="H22" s="10">
        <v>44652</v>
      </c>
    </row>
    <row r="23" spans="1:8" x14ac:dyDescent="0.2">
      <c r="A23" s="11" t="s">
        <v>33</v>
      </c>
      <c r="B23" s="5">
        <v>81</v>
      </c>
      <c r="C23" s="5">
        <v>78</v>
      </c>
      <c r="D23" s="5">
        <v>72</v>
      </c>
      <c r="E23" s="7">
        <v>76.05</v>
      </c>
      <c r="F23" s="8" t="str">
        <f t="shared" si="0"/>
        <v>PASSED</v>
      </c>
      <c r="G23" s="9">
        <v>2.33</v>
      </c>
      <c r="H23" s="10">
        <v>44652</v>
      </c>
    </row>
    <row r="24" spans="1:8" x14ac:dyDescent="0.2">
      <c r="A24" s="11" t="s">
        <v>34</v>
      </c>
      <c r="B24" s="5">
        <v>93</v>
      </c>
      <c r="C24" s="5">
        <v>86</v>
      </c>
      <c r="D24" s="5">
        <v>66</v>
      </c>
      <c r="E24" s="7">
        <v>78.75</v>
      </c>
      <c r="F24" s="8" t="str">
        <f t="shared" si="0"/>
        <v>PASSED</v>
      </c>
      <c r="G24" s="9">
        <v>1.48</v>
      </c>
      <c r="H24" s="10">
        <v>44652</v>
      </c>
    </row>
    <row r="25" spans="1:8" x14ac:dyDescent="0.2">
      <c r="A25" s="11" t="s">
        <v>35</v>
      </c>
      <c r="B25" s="5">
        <v>86</v>
      </c>
      <c r="C25" s="5">
        <v>78</v>
      </c>
      <c r="D25" s="5">
        <v>70</v>
      </c>
      <c r="E25" s="7">
        <v>76.400000000000006</v>
      </c>
      <c r="F25" s="8" t="str">
        <f t="shared" si="0"/>
        <v>PASSED</v>
      </c>
      <c r="G25" s="9">
        <v>2.06</v>
      </c>
      <c r="H25" s="10">
        <v>44652</v>
      </c>
    </row>
    <row r="26" spans="1:8" x14ac:dyDescent="0.2">
      <c r="A26" s="11" t="s">
        <v>36</v>
      </c>
      <c r="B26" s="5">
        <v>92</v>
      </c>
      <c r="C26" s="5">
        <v>84</v>
      </c>
      <c r="D26" s="5">
        <v>74</v>
      </c>
      <c r="E26" s="7">
        <v>81.5</v>
      </c>
      <c r="F26" s="8" t="str">
        <f t="shared" si="0"/>
        <v>PASSED</v>
      </c>
      <c r="G26" s="9">
        <v>2.04</v>
      </c>
      <c r="H26" s="10">
        <v>44652</v>
      </c>
    </row>
    <row r="27" spans="1:8" x14ac:dyDescent="0.2">
      <c r="A27" s="11" t="s">
        <v>37</v>
      </c>
      <c r="B27" s="5">
        <v>80</v>
      </c>
      <c r="C27" s="5">
        <v>80</v>
      </c>
      <c r="D27" s="5">
        <v>69</v>
      </c>
      <c r="E27" s="7">
        <v>75.2</v>
      </c>
      <c r="F27" s="8" t="str">
        <f t="shared" si="0"/>
        <v>PASSED</v>
      </c>
      <c r="G27" s="9">
        <v>2.6</v>
      </c>
      <c r="H27" s="10">
        <v>44652</v>
      </c>
    </row>
    <row r="28" spans="1:8" x14ac:dyDescent="0.2">
      <c r="A28" s="12" t="s">
        <v>38</v>
      </c>
      <c r="B28" s="13">
        <v>86</v>
      </c>
      <c r="C28" s="13">
        <v>82</v>
      </c>
      <c r="D28" s="13">
        <v>69</v>
      </c>
      <c r="E28" s="7">
        <v>77.150000000000006</v>
      </c>
      <c r="F28" s="8" t="str">
        <f t="shared" si="0"/>
        <v>PASSED</v>
      </c>
      <c r="G28" s="8">
        <v>1.9</v>
      </c>
      <c r="H28" s="14">
        <v>44652</v>
      </c>
    </row>
    <row r="29" spans="1:8" x14ac:dyDescent="0.2">
      <c r="A29" s="12" t="s">
        <v>39</v>
      </c>
      <c r="B29" s="13">
        <v>70</v>
      </c>
      <c r="C29" s="13">
        <v>70</v>
      </c>
      <c r="D29" s="13">
        <v>70</v>
      </c>
      <c r="E29" s="7">
        <v>70</v>
      </c>
      <c r="F29" s="8" t="str">
        <f t="shared" si="0"/>
        <v>PASSED</v>
      </c>
      <c r="G29" s="8">
        <v>2.1</v>
      </c>
      <c r="H29" s="14">
        <v>44652</v>
      </c>
    </row>
    <row r="30" spans="1:8" x14ac:dyDescent="0.2">
      <c r="A30" s="12" t="s">
        <v>40</v>
      </c>
      <c r="B30" s="13">
        <v>83</v>
      </c>
      <c r="C30" s="13">
        <v>79</v>
      </c>
      <c r="D30" s="13">
        <v>67</v>
      </c>
      <c r="E30" s="7">
        <v>74.599999999999994</v>
      </c>
      <c r="F30" s="8" t="str">
        <f t="shared" si="0"/>
        <v>PASSED</v>
      </c>
      <c r="G30" s="8">
        <v>2.46</v>
      </c>
      <c r="H30" s="14">
        <v>44652</v>
      </c>
    </row>
    <row r="31" spans="1:8" x14ac:dyDescent="0.2">
      <c r="A31" s="12" t="s">
        <v>41</v>
      </c>
      <c r="B31" s="13">
        <v>84</v>
      </c>
      <c r="C31" s="13">
        <v>73</v>
      </c>
      <c r="D31" s="13">
        <v>63</v>
      </c>
      <c r="E31" s="7">
        <v>71.25</v>
      </c>
      <c r="F31" s="8" t="str">
        <f t="shared" si="0"/>
        <v>PASSED</v>
      </c>
      <c r="G31" s="8">
        <v>1.89</v>
      </c>
      <c r="H31" s="14">
        <v>44652</v>
      </c>
    </row>
    <row r="32" spans="1:8" x14ac:dyDescent="0.2">
      <c r="A32" s="12" t="s">
        <v>42</v>
      </c>
      <c r="B32" s="13">
        <v>86</v>
      </c>
      <c r="C32" s="13">
        <v>81</v>
      </c>
      <c r="D32" s="13">
        <v>72</v>
      </c>
      <c r="E32" s="7">
        <v>78.2</v>
      </c>
      <c r="F32" s="8" t="str">
        <f t="shared" si="0"/>
        <v>PASSED</v>
      </c>
      <c r="G32" s="8">
        <v>1.81</v>
      </c>
      <c r="H32" s="14">
        <v>44652</v>
      </c>
    </row>
    <row r="33" spans="1:8" x14ac:dyDescent="0.2">
      <c r="A33" s="12" t="s">
        <v>43</v>
      </c>
      <c r="B33" s="13">
        <v>83</v>
      </c>
      <c r="C33" s="13">
        <v>79</v>
      </c>
      <c r="D33" s="13">
        <v>74</v>
      </c>
      <c r="E33" s="7">
        <v>77.75</v>
      </c>
      <c r="F33" s="8" t="str">
        <f t="shared" si="0"/>
        <v>PASSED</v>
      </c>
      <c r="G33" s="8">
        <v>2.13</v>
      </c>
      <c r="H33" s="14">
        <v>44652</v>
      </c>
    </row>
    <row r="34" spans="1:8" x14ac:dyDescent="0.2">
      <c r="A34" s="12" t="s">
        <v>44</v>
      </c>
      <c r="B34" s="13">
        <v>83</v>
      </c>
      <c r="C34" s="13">
        <v>80</v>
      </c>
      <c r="D34" s="13">
        <v>63</v>
      </c>
      <c r="E34" s="7">
        <v>73.099999999999994</v>
      </c>
      <c r="F34" s="8" t="str">
        <f t="shared" si="0"/>
        <v>PASSED</v>
      </c>
      <c r="G34" s="8">
        <v>2.52</v>
      </c>
      <c r="H34" s="14">
        <v>44652</v>
      </c>
    </row>
    <row r="35" spans="1:8" x14ac:dyDescent="0.2">
      <c r="A35" s="12" t="s">
        <v>45</v>
      </c>
      <c r="B35" s="13">
        <v>84</v>
      </c>
      <c r="C35" s="13">
        <v>83</v>
      </c>
      <c r="D35" s="13">
        <v>69</v>
      </c>
      <c r="E35" s="7">
        <v>76.95</v>
      </c>
      <c r="F35" s="8" t="str">
        <f t="shared" si="0"/>
        <v>PASSED</v>
      </c>
      <c r="G35" s="8">
        <v>2.34</v>
      </c>
      <c r="H35" s="14">
        <v>44652</v>
      </c>
    </row>
    <row r="36" spans="1:8" x14ac:dyDescent="0.2">
      <c r="A36" s="12" t="s">
        <v>46</v>
      </c>
      <c r="B36" s="13">
        <v>81</v>
      </c>
      <c r="C36" s="13">
        <v>78</v>
      </c>
      <c r="D36" s="13">
        <v>64</v>
      </c>
      <c r="E36" s="7">
        <v>72.45</v>
      </c>
      <c r="F36" s="8" t="str">
        <f t="shared" si="0"/>
        <v>PASSED</v>
      </c>
      <c r="G36" s="8">
        <v>2.25</v>
      </c>
      <c r="H36" s="14">
        <v>44652</v>
      </c>
    </row>
    <row r="37" spans="1:8" ht="12.75" x14ac:dyDescent="0.2">
      <c r="A37" s="12" t="s">
        <v>47</v>
      </c>
      <c r="B37" s="13">
        <v>83</v>
      </c>
      <c r="C37" s="13">
        <v>74</v>
      </c>
      <c r="D37" s="13">
        <v>72</v>
      </c>
      <c r="E37" s="7">
        <v>75.36</v>
      </c>
      <c r="F37" s="8" t="str">
        <f t="shared" si="0"/>
        <v>PASSED</v>
      </c>
      <c r="G37" s="8">
        <v>2.29</v>
      </c>
      <c r="H37" s="14">
        <v>44652</v>
      </c>
    </row>
    <row r="38" spans="1:8" ht="12.75" x14ac:dyDescent="0.2">
      <c r="A38" s="12" t="s">
        <v>48</v>
      </c>
      <c r="B38" s="13">
        <v>88</v>
      </c>
      <c r="C38" s="13">
        <v>84</v>
      </c>
      <c r="D38" s="13">
        <v>75</v>
      </c>
      <c r="E38" s="7">
        <v>80.95</v>
      </c>
      <c r="F38" s="8" t="str">
        <f t="shared" si="0"/>
        <v>PASSED</v>
      </c>
      <c r="G38" s="8">
        <v>2.09</v>
      </c>
      <c r="H38" s="14">
        <v>44652</v>
      </c>
    </row>
    <row r="39" spans="1:8" ht="12.75" x14ac:dyDescent="0.2">
      <c r="A39" s="12" t="s">
        <v>49</v>
      </c>
      <c r="B39" s="13">
        <v>77</v>
      </c>
      <c r="C39" s="13">
        <v>75</v>
      </c>
      <c r="D39" s="13">
        <v>69</v>
      </c>
      <c r="E39" s="7">
        <v>72.8</v>
      </c>
      <c r="F39" s="8" t="str">
        <f t="shared" si="0"/>
        <v>PASSED</v>
      </c>
      <c r="G39" s="8">
        <v>2.14</v>
      </c>
      <c r="H39" s="14">
        <v>44652</v>
      </c>
    </row>
    <row r="40" spans="1:8" ht="12.75" x14ac:dyDescent="0.2">
      <c r="A40" s="11" t="s">
        <v>50</v>
      </c>
      <c r="B40" s="5">
        <v>84</v>
      </c>
      <c r="C40" s="5">
        <v>66</v>
      </c>
      <c r="D40" s="5">
        <v>50</v>
      </c>
      <c r="E40" s="15">
        <v>63.3</v>
      </c>
      <c r="F40" s="13" t="s">
        <v>51</v>
      </c>
      <c r="G40" s="9">
        <v>2.0099999999999998</v>
      </c>
      <c r="H40" s="10">
        <v>44652</v>
      </c>
    </row>
    <row r="41" spans="1:8" ht="12.75" x14ac:dyDescent="0.2">
      <c r="A41" s="11" t="s">
        <v>52</v>
      </c>
      <c r="B41" s="5">
        <v>78</v>
      </c>
      <c r="C41" s="5">
        <v>72</v>
      </c>
      <c r="D41" s="5">
        <v>56</v>
      </c>
      <c r="E41" s="15">
        <v>66.3</v>
      </c>
      <c r="F41" s="13" t="s">
        <v>51</v>
      </c>
      <c r="G41" s="9">
        <v>2.1968000000000001</v>
      </c>
      <c r="H41" s="10">
        <v>44652</v>
      </c>
    </row>
    <row r="42" spans="1:8" ht="12.75" x14ac:dyDescent="0.2">
      <c r="A42" s="11" t="s">
        <v>53</v>
      </c>
      <c r="B42" s="5">
        <v>78</v>
      </c>
      <c r="C42" s="5">
        <v>71</v>
      </c>
      <c r="D42" s="5">
        <v>38</v>
      </c>
      <c r="E42" s="15">
        <v>57.9</v>
      </c>
      <c r="F42" s="13" t="s">
        <v>51</v>
      </c>
      <c r="G42" s="9">
        <v>2.2999999999999998</v>
      </c>
      <c r="H42" s="10">
        <v>44652</v>
      </c>
    </row>
    <row r="43" spans="1:8" ht="12.75" x14ac:dyDescent="0.2">
      <c r="A43" s="11" t="s">
        <v>54</v>
      </c>
      <c r="B43" s="5">
        <v>75</v>
      </c>
      <c r="C43" s="5">
        <v>71</v>
      </c>
      <c r="D43" s="5">
        <v>53</v>
      </c>
      <c r="E43" s="15">
        <v>63.9</v>
      </c>
      <c r="F43" s="13" t="s">
        <v>51</v>
      </c>
      <c r="G43" s="9">
        <v>2.5099999999999998</v>
      </c>
      <c r="H43" s="10">
        <v>44652</v>
      </c>
    </row>
    <row r="44" spans="1:8" ht="12.75" x14ac:dyDescent="0.2">
      <c r="A44" s="11" t="s">
        <v>55</v>
      </c>
      <c r="B44" s="5">
        <v>71</v>
      </c>
      <c r="C44" s="5">
        <v>72</v>
      </c>
      <c r="D44" s="5">
        <v>49</v>
      </c>
      <c r="E44" s="15">
        <v>61.4</v>
      </c>
      <c r="F44" s="13" t="s">
        <v>51</v>
      </c>
      <c r="G44" s="9">
        <v>2.12</v>
      </c>
      <c r="H44" s="10">
        <v>44652</v>
      </c>
    </row>
    <row r="45" spans="1:8" ht="12.75" x14ac:dyDescent="0.2">
      <c r="A45" s="11" t="s">
        <v>56</v>
      </c>
      <c r="B45" s="5">
        <v>78</v>
      </c>
      <c r="C45" s="5">
        <v>71</v>
      </c>
      <c r="D45" s="5">
        <v>52</v>
      </c>
      <c r="E45" s="15">
        <v>64.2</v>
      </c>
      <c r="F45" s="13" t="s">
        <v>51</v>
      </c>
      <c r="G45" s="9">
        <v>2.41</v>
      </c>
      <c r="H45" s="10">
        <v>44652</v>
      </c>
    </row>
    <row r="46" spans="1:8" ht="12.75" x14ac:dyDescent="0.2">
      <c r="A46" s="11" t="s">
        <v>57</v>
      </c>
      <c r="B46" s="5">
        <v>78</v>
      </c>
      <c r="C46" s="5">
        <v>72</v>
      </c>
      <c r="D46" s="5">
        <v>43</v>
      </c>
      <c r="E46" s="15">
        <v>60.45</v>
      </c>
      <c r="F46" s="13" t="s">
        <v>51</v>
      </c>
      <c r="G46" s="9">
        <v>2.16</v>
      </c>
      <c r="H46" s="10">
        <v>44652</v>
      </c>
    </row>
    <row r="47" spans="1:8" ht="12.75" x14ac:dyDescent="0.2">
      <c r="A47" s="11" t="s">
        <v>58</v>
      </c>
      <c r="B47" s="5">
        <v>74</v>
      </c>
      <c r="C47" s="5">
        <v>73</v>
      </c>
      <c r="D47" s="5">
        <v>45</v>
      </c>
      <c r="E47" s="15">
        <v>60.65</v>
      </c>
      <c r="F47" s="13" t="s">
        <v>51</v>
      </c>
      <c r="G47" s="9">
        <v>2.2000000000000002</v>
      </c>
      <c r="H47" s="10">
        <v>44652</v>
      </c>
    </row>
    <row r="48" spans="1:8" ht="12.75" x14ac:dyDescent="0.2">
      <c r="A48" s="12" t="s">
        <v>59</v>
      </c>
      <c r="B48" s="13">
        <v>74</v>
      </c>
      <c r="C48" s="13">
        <v>66</v>
      </c>
      <c r="D48" s="13">
        <v>41</v>
      </c>
      <c r="E48" s="15">
        <v>56.75</v>
      </c>
      <c r="F48" s="13" t="s">
        <v>51</v>
      </c>
      <c r="G48" s="16">
        <v>2.5628000000000002</v>
      </c>
      <c r="H48" s="10">
        <v>44652</v>
      </c>
    </row>
    <row r="49" spans="1:8" ht="12.75" x14ac:dyDescent="0.2">
      <c r="A49" s="11" t="s">
        <v>60</v>
      </c>
      <c r="B49" s="5">
        <v>72</v>
      </c>
      <c r="C49" s="5">
        <v>69</v>
      </c>
      <c r="D49" s="5">
        <v>39</v>
      </c>
      <c r="E49" s="15">
        <v>56.25</v>
      </c>
      <c r="F49" s="13" t="s">
        <v>51</v>
      </c>
      <c r="G49" s="9">
        <v>2.37</v>
      </c>
      <c r="H49" s="10">
        <v>44652</v>
      </c>
    </row>
    <row r="50" spans="1:8" ht="12.75" x14ac:dyDescent="0.2">
      <c r="A50" s="11" t="s">
        <v>61</v>
      </c>
      <c r="B50" s="5">
        <v>71</v>
      </c>
      <c r="C50" s="5">
        <v>56</v>
      </c>
      <c r="D50" s="5">
        <v>53</v>
      </c>
      <c r="E50" s="15">
        <v>58.4</v>
      </c>
      <c r="F50" s="13" t="s">
        <v>51</v>
      </c>
      <c r="G50" s="9">
        <v>2.46</v>
      </c>
      <c r="H50" s="10">
        <v>44652</v>
      </c>
    </row>
    <row r="51" spans="1:8" ht="12.75" x14ac:dyDescent="0.2">
      <c r="A51" s="11" t="s">
        <v>62</v>
      </c>
      <c r="B51" s="5">
        <v>75</v>
      </c>
      <c r="C51" s="5">
        <v>74</v>
      </c>
      <c r="D51" s="5">
        <v>56</v>
      </c>
      <c r="E51" s="15">
        <v>66.150000000000006</v>
      </c>
      <c r="F51" s="13" t="s">
        <v>51</v>
      </c>
      <c r="G51" s="9">
        <v>2.39</v>
      </c>
      <c r="H51" s="10">
        <v>44652</v>
      </c>
    </row>
    <row r="52" spans="1:8" ht="12.75" x14ac:dyDescent="0.2">
      <c r="A52" s="11" t="s">
        <v>63</v>
      </c>
      <c r="B52" s="5">
        <v>74</v>
      </c>
      <c r="C52" s="5">
        <v>66</v>
      </c>
      <c r="D52" s="5">
        <v>55</v>
      </c>
      <c r="E52" s="15">
        <v>63.5</v>
      </c>
      <c r="F52" s="13" t="s">
        <v>51</v>
      </c>
      <c r="G52" s="9">
        <v>2.4700000000000002</v>
      </c>
      <c r="H52" s="10">
        <v>44652</v>
      </c>
    </row>
    <row r="53" spans="1:8" ht="12.75" x14ac:dyDescent="0.2">
      <c r="A53" s="11" t="s">
        <v>64</v>
      </c>
      <c r="B53" s="5">
        <v>77</v>
      </c>
      <c r="C53" s="5">
        <v>64</v>
      </c>
      <c r="D53" s="5">
        <v>46</v>
      </c>
      <c r="E53" s="15">
        <v>59.5</v>
      </c>
      <c r="F53" s="13" t="s">
        <v>51</v>
      </c>
      <c r="G53" s="9">
        <v>2.2999999999999998</v>
      </c>
      <c r="H53" s="10">
        <v>44652</v>
      </c>
    </row>
    <row r="54" spans="1:8" ht="12.75" x14ac:dyDescent="0.2">
      <c r="A54" s="11" t="s">
        <v>65</v>
      </c>
      <c r="B54" s="5">
        <v>78</v>
      </c>
      <c r="C54" s="5">
        <v>66</v>
      </c>
      <c r="D54" s="5">
        <v>50</v>
      </c>
      <c r="E54" s="15">
        <v>61.8</v>
      </c>
      <c r="F54" s="13" t="s">
        <v>51</v>
      </c>
      <c r="G54" s="9">
        <v>2.21</v>
      </c>
      <c r="H54" s="10">
        <v>44652</v>
      </c>
    </row>
    <row r="55" spans="1:8" ht="12.75" x14ac:dyDescent="0.2">
      <c r="A55" s="12" t="s">
        <v>66</v>
      </c>
      <c r="B55" s="13">
        <v>78</v>
      </c>
      <c r="C55" s="13">
        <v>75</v>
      </c>
      <c r="D55" s="13">
        <v>50</v>
      </c>
      <c r="E55" s="15">
        <v>64.5</v>
      </c>
      <c r="F55" s="13" t="s">
        <v>51</v>
      </c>
      <c r="G55" s="8">
        <v>2.52</v>
      </c>
      <c r="H55" s="14">
        <v>44652</v>
      </c>
    </row>
    <row r="56" spans="1:8" ht="12.75" x14ac:dyDescent="0.2">
      <c r="A56" s="12" t="s">
        <v>67</v>
      </c>
      <c r="B56" s="13">
        <v>69</v>
      </c>
      <c r="C56" s="13">
        <v>60</v>
      </c>
      <c r="D56" s="13">
        <v>52</v>
      </c>
      <c r="E56" s="15">
        <v>58.65</v>
      </c>
      <c r="F56" s="13" t="s">
        <v>51</v>
      </c>
      <c r="G56" s="8">
        <v>2.4500000000000002</v>
      </c>
      <c r="H56" s="14">
        <v>44652</v>
      </c>
    </row>
    <row r="57" spans="1:8" ht="12.75" x14ac:dyDescent="0.2">
      <c r="A57" s="12" t="s">
        <v>68</v>
      </c>
      <c r="B57" s="13">
        <v>64</v>
      </c>
      <c r="C57" s="13">
        <v>55</v>
      </c>
      <c r="D57" s="13">
        <v>39</v>
      </c>
      <c r="E57" s="15">
        <v>50.05</v>
      </c>
      <c r="F57" s="13" t="s">
        <v>51</v>
      </c>
      <c r="G57" s="8">
        <v>2.54</v>
      </c>
      <c r="H57" s="14">
        <v>44652</v>
      </c>
    </row>
    <row r="58" spans="1:8" ht="12.75" x14ac:dyDescent="0.2">
      <c r="A58" s="12" t="s">
        <v>69</v>
      </c>
      <c r="B58" s="13">
        <v>81</v>
      </c>
      <c r="C58" s="13">
        <v>72</v>
      </c>
      <c r="D58" s="13">
        <v>55</v>
      </c>
      <c r="E58" s="15">
        <v>66.599999999999994</v>
      </c>
      <c r="F58" s="13" t="s">
        <v>51</v>
      </c>
      <c r="G58" s="8">
        <v>2.3199999999999998</v>
      </c>
      <c r="H58" s="14">
        <v>44652</v>
      </c>
    </row>
    <row r="59" spans="1:8" ht="12.75" x14ac:dyDescent="0.2">
      <c r="A59" s="12" t="s">
        <v>70</v>
      </c>
      <c r="B59" s="13">
        <v>60</v>
      </c>
      <c r="C59" s="13">
        <v>57</v>
      </c>
      <c r="D59" s="13">
        <v>53</v>
      </c>
      <c r="E59" s="15">
        <v>55.95</v>
      </c>
      <c r="F59" s="13" t="s">
        <v>51</v>
      </c>
      <c r="G59" s="8">
        <v>2.27</v>
      </c>
      <c r="H59" s="14">
        <v>44652</v>
      </c>
    </row>
    <row r="60" spans="1:8" ht="12.75" x14ac:dyDescent="0.2">
      <c r="A60" s="12" t="s">
        <v>71</v>
      </c>
      <c r="B60" s="13">
        <v>73</v>
      </c>
      <c r="C60" s="13">
        <v>70</v>
      </c>
      <c r="D60" s="13">
        <v>45</v>
      </c>
      <c r="E60" s="15">
        <v>59.5</v>
      </c>
      <c r="F60" s="13" t="s">
        <v>51</v>
      </c>
      <c r="G60" s="8">
        <v>2.14</v>
      </c>
      <c r="H60" s="14">
        <v>44652</v>
      </c>
    </row>
    <row r="61" spans="1:8" ht="12.75" x14ac:dyDescent="0.2">
      <c r="A61" s="11" t="s">
        <v>72</v>
      </c>
      <c r="B61" s="5">
        <v>83</v>
      </c>
      <c r="C61" s="5">
        <v>82</v>
      </c>
      <c r="D61" s="5">
        <v>78</v>
      </c>
      <c r="E61" s="7">
        <v>80.45</v>
      </c>
      <c r="F61" s="8" t="str">
        <f t="shared" ref="F61:F76" si="1">IF(E61&gt;=70,"PASSED", "---")</f>
        <v>PASSED</v>
      </c>
      <c r="G61" s="9">
        <v>1.7</v>
      </c>
      <c r="H61" s="10">
        <v>44805</v>
      </c>
    </row>
    <row r="62" spans="1:8" ht="15" x14ac:dyDescent="0.25">
      <c r="A62" s="6" t="s">
        <v>73</v>
      </c>
      <c r="B62" s="17">
        <v>82</v>
      </c>
      <c r="C62" s="17">
        <v>80</v>
      </c>
      <c r="D62" s="17">
        <v>83</v>
      </c>
      <c r="E62" s="7">
        <v>81.849999999999994</v>
      </c>
      <c r="F62" s="8" t="str">
        <f t="shared" si="1"/>
        <v>PASSED</v>
      </c>
      <c r="G62" s="9">
        <v>1.76</v>
      </c>
      <c r="H62" s="10">
        <v>44805</v>
      </c>
    </row>
    <row r="63" spans="1:8" ht="15" x14ac:dyDescent="0.25">
      <c r="A63" s="6" t="s">
        <v>74</v>
      </c>
      <c r="B63" s="17">
        <v>77</v>
      </c>
      <c r="C63" s="17">
        <v>69</v>
      </c>
      <c r="D63" s="17">
        <v>73</v>
      </c>
      <c r="E63" s="7">
        <v>72.8</v>
      </c>
      <c r="F63" s="8" t="str">
        <f t="shared" si="1"/>
        <v>PASSED</v>
      </c>
      <c r="G63" s="9">
        <v>2.31</v>
      </c>
      <c r="H63" s="10">
        <v>44805</v>
      </c>
    </row>
    <row r="64" spans="1:8" ht="15" x14ac:dyDescent="0.25">
      <c r="A64" s="6" t="s">
        <v>75</v>
      </c>
      <c r="B64" s="17">
        <v>74</v>
      </c>
      <c r="C64" s="17">
        <v>75</v>
      </c>
      <c r="D64" s="17">
        <v>71</v>
      </c>
      <c r="E64" s="7">
        <v>72.95</v>
      </c>
      <c r="F64" s="8" t="str">
        <f t="shared" si="1"/>
        <v>PASSED</v>
      </c>
      <c r="G64" s="9">
        <v>2.52</v>
      </c>
      <c r="H64" s="10">
        <v>44805</v>
      </c>
    </row>
    <row r="65" spans="1:8" ht="15" x14ac:dyDescent="0.25">
      <c r="A65" s="6" t="s">
        <v>76</v>
      </c>
      <c r="B65" s="17">
        <v>70</v>
      </c>
      <c r="C65" s="17">
        <v>70</v>
      </c>
      <c r="D65" s="17">
        <v>70</v>
      </c>
      <c r="E65" s="7">
        <v>70</v>
      </c>
      <c r="F65" s="8" t="str">
        <f t="shared" si="1"/>
        <v>PASSED</v>
      </c>
      <c r="G65" s="9">
        <v>2.31</v>
      </c>
      <c r="H65" s="10">
        <v>44805</v>
      </c>
    </row>
    <row r="66" spans="1:8" ht="12.75" x14ac:dyDescent="0.2">
      <c r="A66" s="11" t="s">
        <v>77</v>
      </c>
      <c r="B66" s="5">
        <v>80</v>
      </c>
      <c r="C66" s="5">
        <v>81</v>
      </c>
      <c r="D66" s="5">
        <v>80</v>
      </c>
      <c r="E66" s="7">
        <v>80.3</v>
      </c>
      <c r="F66" s="8" t="str">
        <f t="shared" si="1"/>
        <v>PASSED</v>
      </c>
      <c r="G66" s="9">
        <v>1.8721000000000001</v>
      </c>
      <c r="H66" s="10">
        <v>44805</v>
      </c>
    </row>
    <row r="67" spans="1:8" ht="12.75" x14ac:dyDescent="0.2">
      <c r="A67" s="11" t="s">
        <v>78</v>
      </c>
      <c r="B67" s="5">
        <v>76</v>
      </c>
      <c r="C67" s="5">
        <v>69</v>
      </c>
      <c r="D67" s="5">
        <v>70</v>
      </c>
      <c r="E67" s="7">
        <v>70.7</v>
      </c>
      <c r="F67" s="8" t="str">
        <f t="shared" si="1"/>
        <v>PASSED</v>
      </c>
      <c r="G67" s="9">
        <v>1.982</v>
      </c>
      <c r="H67" s="10">
        <v>44805</v>
      </c>
    </row>
    <row r="68" spans="1:8" ht="12.75" x14ac:dyDescent="0.2">
      <c r="A68" s="11" t="s">
        <v>79</v>
      </c>
      <c r="B68" s="5">
        <v>78</v>
      </c>
      <c r="C68" s="5">
        <v>79</v>
      </c>
      <c r="D68" s="5">
        <v>75</v>
      </c>
      <c r="E68" s="7">
        <v>76.95</v>
      </c>
      <c r="F68" s="8" t="str">
        <f t="shared" si="1"/>
        <v>PASSED</v>
      </c>
      <c r="G68" s="9">
        <v>2.1398999999999999</v>
      </c>
      <c r="H68" s="10">
        <v>44805</v>
      </c>
    </row>
    <row r="69" spans="1:8" ht="14.25" x14ac:dyDescent="0.2">
      <c r="A69" s="18" t="s">
        <v>80</v>
      </c>
      <c r="B69" s="5">
        <v>87</v>
      </c>
      <c r="C69" s="5">
        <v>80</v>
      </c>
      <c r="D69" s="5">
        <v>72</v>
      </c>
      <c r="E69" s="7">
        <v>78.150000000000006</v>
      </c>
      <c r="F69" s="8" t="str">
        <f t="shared" si="1"/>
        <v>PASSED</v>
      </c>
      <c r="G69" s="9">
        <v>2.0499999999999998</v>
      </c>
      <c r="H69" s="10">
        <v>44805</v>
      </c>
    </row>
    <row r="70" spans="1:8" ht="14.25" x14ac:dyDescent="0.2">
      <c r="A70" s="18" t="s">
        <v>81</v>
      </c>
      <c r="B70" s="5">
        <v>83</v>
      </c>
      <c r="C70" s="5">
        <v>77</v>
      </c>
      <c r="D70" s="5">
        <v>74</v>
      </c>
      <c r="E70" s="7">
        <v>77.150000000000006</v>
      </c>
      <c r="F70" s="8" t="str">
        <f t="shared" si="1"/>
        <v>PASSED</v>
      </c>
      <c r="G70" s="9">
        <v>2.04</v>
      </c>
      <c r="H70" s="10">
        <v>44805</v>
      </c>
    </row>
    <row r="71" spans="1:8" ht="12.75" x14ac:dyDescent="0.2">
      <c r="A71" s="11" t="s">
        <v>82</v>
      </c>
      <c r="B71" s="5">
        <v>77</v>
      </c>
      <c r="C71" s="5">
        <v>76</v>
      </c>
      <c r="D71" s="5">
        <v>83</v>
      </c>
      <c r="E71" s="7">
        <v>78.400000000000006</v>
      </c>
      <c r="F71" s="8" t="str">
        <f t="shared" si="1"/>
        <v>PASSED</v>
      </c>
      <c r="G71" s="9">
        <v>2.06</v>
      </c>
      <c r="H71" s="10">
        <v>44805</v>
      </c>
    </row>
    <row r="72" spans="1:8" ht="12.75" x14ac:dyDescent="0.2">
      <c r="A72" s="12" t="s">
        <v>83</v>
      </c>
      <c r="B72" s="13">
        <v>70</v>
      </c>
      <c r="C72" s="13">
        <v>70</v>
      </c>
      <c r="D72" s="13">
        <v>70</v>
      </c>
      <c r="E72" s="7">
        <v>70</v>
      </c>
      <c r="F72" s="8" t="str">
        <f t="shared" si="1"/>
        <v>PASSED</v>
      </c>
      <c r="G72" s="8">
        <v>2.2400000000000002</v>
      </c>
      <c r="H72" s="14">
        <v>44805</v>
      </c>
    </row>
    <row r="73" spans="1:8" ht="12.75" x14ac:dyDescent="0.2">
      <c r="A73" s="12" t="s">
        <v>84</v>
      </c>
      <c r="B73" s="13">
        <v>84</v>
      </c>
      <c r="C73" s="13">
        <v>78</v>
      </c>
      <c r="D73" s="13">
        <v>78</v>
      </c>
      <c r="E73" s="7">
        <v>79.5</v>
      </c>
      <c r="F73" s="8" t="str">
        <f t="shared" si="1"/>
        <v>PASSED</v>
      </c>
      <c r="G73" s="8">
        <v>2.25</v>
      </c>
      <c r="H73" s="14">
        <v>44805</v>
      </c>
    </row>
    <row r="74" spans="1:8" ht="12.75" x14ac:dyDescent="0.2">
      <c r="A74" s="12" t="s">
        <v>85</v>
      </c>
      <c r="B74" s="13">
        <v>84</v>
      </c>
      <c r="C74" s="13">
        <v>81</v>
      </c>
      <c r="D74" s="13">
        <v>77</v>
      </c>
      <c r="E74" s="7">
        <v>79.95</v>
      </c>
      <c r="F74" s="8" t="str">
        <f t="shared" si="1"/>
        <v>PASSED</v>
      </c>
      <c r="G74" s="8">
        <v>2.2599999999999998</v>
      </c>
      <c r="H74" s="14">
        <v>44805</v>
      </c>
    </row>
    <row r="75" spans="1:8" ht="12.75" x14ac:dyDescent="0.2">
      <c r="A75" s="12" t="s">
        <v>86</v>
      </c>
      <c r="B75" s="13">
        <v>81</v>
      </c>
      <c r="C75" s="13">
        <v>76</v>
      </c>
      <c r="D75" s="13">
        <v>75</v>
      </c>
      <c r="E75" s="7">
        <v>76.8</v>
      </c>
      <c r="F75" s="8" t="str">
        <f t="shared" si="1"/>
        <v>PASSED</v>
      </c>
      <c r="G75" s="8">
        <v>2.31</v>
      </c>
      <c r="H75" s="14">
        <v>44805</v>
      </c>
    </row>
    <row r="76" spans="1:8" ht="12.75" x14ac:dyDescent="0.2">
      <c r="A76" s="12" t="s">
        <v>87</v>
      </c>
      <c r="B76" s="13">
        <v>80</v>
      </c>
      <c r="C76" s="13">
        <v>79</v>
      </c>
      <c r="D76" s="13">
        <v>75</v>
      </c>
      <c r="E76" s="7">
        <v>77.45</v>
      </c>
      <c r="F76" s="8" t="str">
        <f t="shared" si="1"/>
        <v>PASSED</v>
      </c>
      <c r="G76" s="8">
        <v>2.2200000000000002</v>
      </c>
      <c r="H76" s="14">
        <v>44805</v>
      </c>
    </row>
    <row r="77" spans="1:8" ht="15" x14ac:dyDescent="0.25">
      <c r="A77" s="6" t="s">
        <v>88</v>
      </c>
      <c r="B77" s="17">
        <v>64</v>
      </c>
      <c r="C77" s="17">
        <v>66</v>
      </c>
      <c r="D77" s="17">
        <v>53</v>
      </c>
      <c r="E77" s="15">
        <v>59.65</v>
      </c>
      <c r="F77" s="8" t="s">
        <v>51</v>
      </c>
      <c r="G77" s="9">
        <v>2.4203999999999999</v>
      </c>
      <c r="H77" s="10">
        <v>44805</v>
      </c>
    </row>
    <row r="78" spans="1:8" ht="15" x14ac:dyDescent="0.25">
      <c r="A78" s="6" t="s">
        <v>89</v>
      </c>
      <c r="B78" s="17">
        <v>69</v>
      </c>
      <c r="C78" s="17">
        <v>59</v>
      </c>
      <c r="D78" s="17">
        <v>48</v>
      </c>
      <c r="E78" s="15">
        <v>56.55</v>
      </c>
      <c r="F78" s="8" t="s">
        <v>51</v>
      </c>
      <c r="G78" s="9">
        <v>2.1419999999999999</v>
      </c>
      <c r="H78" s="10">
        <v>44805</v>
      </c>
    </row>
    <row r="79" spans="1:8" ht="15" x14ac:dyDescent="0.25">
      <c r="A79" s="6" t="s">
        <v>90</v>
      </c>
      <c r="B79" s="17">
        <v>77</v>
      </c>
      <c r="C79" s="17">
        <v>70</v>
      </c>
      <c r="D79" s="17">
        <v>56</v>
      </c>
      <c r="E79" s="15">
        <v>65.45</v>
      </c>
      <c r="F79" s="8" t="s">
        <v>51</v>
      </c>
      <c r="G79" s="9">
        <v>2.012</v>
      </c>
      <c r="H79" s="10">
        <v>44805</v>
      </c>
    </row>
    <row r="80" spans="1:8" ht="15" x14ac:dyDescent="0.25">
      <c r="A80" s="6" t="s">
        <v>91</v>
      </c>
      <c r="B80" s="17">
        <v>70</v>
      </c>
      <c r="C80" s="17">
        <v>75</v>
      </c>
      <c r="D80" s="17">
        <v>53</v>
      </c>
      <c r="E80" s="15">
        <v>63.85</v>
      </c>
      <c r="F80" s="8" t="s">
        <v>51</v>
      </c>
      <c r="G80" s="9">
        <v>2.1829999999999998</v>
      </c>
      <c r="H80" s="10">
        <v>44805</v>
      </c>
    </row>
    <row r="81" spans="1:8" ht="15" x14ac:dyDescent="0.25">
      <c r="A81" s="6" t="s">
        <v>92</v>
      </c>
      <c r="B81" s="17">
        <v>59</v>
      </c>
      <c r="C81" s="17">
        <v>64</v>
      </c>
      <c r="D81" s="17">
        <v>62</v>
      </c>
      <c r="E81" s="15">
        <v>61.85</v>
      </c>
      <c r="F81" s="8" t="s">
        <v>51</v>
      </c>
      <c r="G81" s="9">
        <v>2.41</v>
      </c>
      <c r="H81" s="10">
        <v>44805</v>
      </c>
    </row>
    <row r="82" spans="1:8" ht="12.75" x14ac:dyDescent="0.2">
      <c r="A82" s="11" t="s">
        <v>93</v>
      </c>
      <c r="B82" s="5">
        <v>75</v>
      </c>
      <c r="C82" s="5">
        <v>72</v>
      </c>
      <c r="D82" s="5">
        <v>55</v>
      </c>
      <c r="E82" s="15">
        <v>65.099999999999994</v>
      </c>
      <c r="F82" s="8" t="s">
        <v>51</v>
      </c>
      <c r="G82" s="9">
        <v>2.2410000000000001</v>
      </c>
      <c r="H82" s="10">
        <v>44805</v>
      </c>
    </row>
    <row r="83" spans="1:8" ht="12.75" x14ac:dyDescent="0.2">
      <c r="A83" s="11" t="s">
        <v>94</v>
      </c>
      <c r="B83" s="5">
        <v>67</v>
      </c>
      <c r="C83" s="5">
        <v>59</v>
      </c>
      <c r="D83" s="5">
        <v>56</v>
      </c>
      <c r="E83" s="15">
        <v>59.65</v>
      </c>
      <c r="F83" s="8" t="s">
        <v>51</v>
      </c>
      <c r="G83" s="9">
        <v>2.3199999999999998</v>
      </c>
      <c r="H83" s="10">
        <v>44805</v>
      </c>
    </row>
    <row r="84" spans="1:8" ht="15" x14ac:dyDescent="0.25">
      <c r="A84" s="18" t="s">
        <v>95</v>
      </c>
      <c r="B84" s="19">
        <v>72</v>
      </c>
      <c r="C84" s="20">
        <v>69</v>
      </c>
      <c r="D84" s="20">
        <v>59</v>
      </c>
      <c r="E84" s="21">
        <v>65.25</v>
      </c>
      <c r="F84" s="8" t="s">
        <v>51</v>
      </c>
      <c r="G84" s="9">
        <v>2.2799999999999998</v>
      </c>
      <c r="H84" s="10">
        <v>44805</v>
      </c>
    </row>
    <row r="85" spans="1:8" ht="12.75" x14ac:dyDescent="0.2">
      <c r="A85" s="11" t="s">
        <v>96</v>
      </c>
      <c r="B85" s="5">
        <v>71</v>
      </c>
      <c r="C85" s="5">
        <v>71</v>
      </c>
      <c r="D85" s="5">
        <v>56</v>
      </c>
      <c r="E85" s="15">
        <v>64.25</v>
      </c>
      <c r="F85" s="8" t="s">
        <v>51</v>
      </c>
      <c r="G85" s="9">
        <v>2.9756999999999998</v>
      </c>
      <c r="H85" s="10">
        <v>44805</v>
      </c>
    </row>
    <row r="86" spans="1:8" ht="12.75" x14ac:dyDescent="0.2">
      <c r="A86" s="11" t="s">
        <v>97</v>
      </c>
      <c r="B86" s="5">
        <v>49</v>
      </c>
      <c r="C86" s="5">
        <v>56</v>
      </c>
      <c r="D86" s="5">
        <v>38</v>
      </c>
      <c r="E86" s="15">
        <v>46.15</v>
      </c>
      <c r="F86" s="8" t="s">
        <v>51</v>
      </c>
      <c r="G86" s="9">
        <v>2.4500000000000002</v>
      </c>
      <c r="H86" s="10">
        <v>44805</v>
      </c>
    </row>
    <row r="87" spans="1:8" ht="15" x14ac:dyDescent="0.25">
      <c r="A87" s="11" t="s">
        <v>98</v>
      </c>
      <c r="B87" s="5">
        <v>62</v>
      </c>
      <c r="C87" s="5">
        <v>42</v>
      </c>
      <c r="D87" s="5">
        <v>42</v>
      </c>
      <c r="E87" s="15">
        <v>47</v>
      </c>
      <c r="F87" s="8" t="s">
        <v>51</v>
      </c>
      <c r="G87" s="22">
        <v>1.3277000000000001</v>
      </c>
      <c r="H87" s="10">
        <v>44805</v>
      </c>
    </row>
    <row r="88" spans="1:8" ht="12.75" x14ac:dyDescent="0.2">
      <c r="A88" s="11" t="s">
        <v>99</v>
      </c>
      <c r="B88" s="5">
        <v>59</v>
      </c>
      <c r="C88" s="5">
        <v>62</v>
      </c>
      <c r="D88" s="5">
        <v>55</v>
      </c>
      <c r="E88" s="15">
        <v>58.1</v>
      </c>
      <c r="F88" s="8" t="s">
        <v>51</v>
      </c>
      <c r="G88" s="9">
        <v>2.4941</v>
      </c>
      <c r="H88" s="10">
        <v>44805</v>
      </c>
    </row>
    <row r="89" spans="1:8" ht="12.75" x14ac:dyDescent="0.2">
      <c r="A89" s="11" t="s">
        <v>100</v>
      </c>
      <c r="B89" s="5">
        <v>75</v>
      </c>
      <c r="C89" s="5">
        <v>66</v>
      </c>
      <c r="D89" s="5">
        <v>53</v>
      </c>
      <c r="E89" s="15">
        <v>62.4</v>
      </c>
      <c r="F89" s="8" t="s">
        <v>51</v>
      </c>
      <c r="G89" s="9">
        <v>2.31</v>
      </c>
      <c r="H89" s="10">
        <v>44805</v>
      </c>
    </row>
    <row r="90" spans="1:8" ht="12.75" x14ac:dyDescent="0.2">
      <c r="A90" s="11" t="s">
        <v>101</v>
      </c>
      <c r="B90" s="5">
        <v>69</v>
      </c>
      <c r="C90" s="5">
        <v>62</v>
      </c>
      <c r="D90" s="5">
        <v>49</v>
      </c>
      <c r="E90" s="15">
        <v>57.9</v>
      </c>
      <c r="F90" s="8" t="s">
        <v>51</v>
      </c>
      <c r="G90" s="9">
        <v>2.4</v>
      </c>
      <c r="H90" s="10">
        <v>44805</v>
      </c>
    </row>
    <row r="91" spans="1:8" ht="12.75" x14ac:dyDescent="0.2">
      <c r="A91" s="11" t="s">
        <v>102</v>
      </c>
      <c r="B91" s="5">
        <v>72</v>
      </c>
      <c r="C91" s="5">
        <v>72</v>
      </c>
      <c r="D91" s="5">
        <v>62</v>
      </c>
      <c r="E91" s="15">
        <v>67.5</v>
      </c>
      <c r="F91" s="8" t="s">
        <v>51</v>
      </c>
      <c r="G91" s="9">
        <v>2.44</v>
      </c>
      <c r="H91" s="10">
        <v>44805</v>
      </c>
    </row>
    <row r="92" spans="1:8" ht="15" x14ac:dyDescent="0.25">
      <c r="A92" s="11" t="s">
        <v>103</v>
      </c>
      <c r="B92" s="5">
        <v>57</v>
      </c>
      <c r="C92" s="5">
        <v>59</v>
      </c>
      <c r="D92" s="5">
        <v>46</v>
      </c>
      <c r="E92" s="15">
        <v>52.65</v>
      </c>
      <c r="F92" s="8" t="s">
        <v>51</v>
      </c>
      <c r="G92" s="22">
        <v>1.8088</v>
      </c>
      <c r="H92" s="10">
        <v>44805</v>
      </c>
    </row>
    <row r="93" spans="1:8" ht="12.75" x14ac:dyDescent="0.2">
      <c r="A93" s="11" t="s">
        <v>104</v>
      </c>
      <c r="B93" s="5">
        <v>64</v>
      </c>
      <c r="C93" s="5">
        <v>56</v>
      </c>
      <c r="D93" s="5">
        <v>46</v>
      </c>
      <c r="E93" s="15">
        <v>53.5</v>
      </c>
      <c r="F93" s="8" t="s">
        <v>51</v>
      </c>
      <c r="G93" s="9">
        <v>2.379</v>
      </c>
      <c r="H93" s="10">
        <v>44805</v>
      </c>
    </row>
    <row r="94" spans="1:8" ht="12.75" x14ac:dyDescent="0.2">
      <c r="A94" s="11" t="s">
        <v>105</v>
      </c>
      <c r="B94" s="5">
        <v>42</v>
      </c>
      <c r="C94" s="5">
        <v>50</v>
      </c>
      <c r="D94" s="5">
        <v>46</v>
      </c>
      <c r="E94" s="15">
        <v>46.2</v>
      </c>
      <c r="F94" s="8" t="s">
        <v>51</v>
      </c>
      <c r="G94" s="9">
        <v>2.5</v>
      </c>
      <c r="H94" s="10">
        <v>44805</v>
      </c>
    </row>
    <row r="95" spans="1:8" ht="12.75" x14ac:dyDescent="0.2">
      <c r="A95" s="11" t="s">
        <v>106</v>
      </c>
      <c r="B95" s="5">
        <v>64</v>
      </c>
      <c r="C95" s="5">
        <v>70</v>
      </c>
      <c r="D95" s="5">
        <v>53</v>
      </c>
      <c r="E95" s="15">
        <v>60.85</v>
      </c>
      <c r="F95" s="8" t="s">
        <v>51</v>
      </c>
      <c r="G95" s="9">
        <v>2.33</v>
      </c>
      <c r="H95" s="10">
        <v>44805</v>
      </c>
    </row>
    <row r="96" spans="1:8" ht="12.75" x14ac:dyDescent="0.2">
      <c r="A96" s="12" t="s">
        <v>107</v>
      </c>
      <c r="B96" s="13">
        <v>64</v>
      </c>
      <c r="C96" s="13">
        <v>49</v>
      </c>
      <c r="D96" s="13">
        <v>55</v>
      </c>
      <c r="E96" s="15">
        <v>55.45</v>
      </c>
      <c r="F96" s="8" t="s">
        <v>51</v>
      </c>
      <c r="G96" s="8">
        <v>2.34</v>
      </c>
      <c r="H96" s="14">
        <v>44805</v>
      </c>
    </row>
    <row r="97" spans="1:8" ht="12.75" x14ac:dyDescent="0.2">
      <c r="A97" s="12" t="s">
        <v>108</v>
      </c>
      <c r="B97" s="13">
        <v>69</v>
      </c>
      <c r="C97" s="13">
        <v>66</v>
      </c>
      <c r="D97" s="13">
        <v>53</v>
      </c>
      <c r="E97" s="15">
        <v>60.9</v>
      </c>
      <c r="F97" s="8" t="s">
        <v>51</v>
      </c>
      <c r="G97" s="8">
        <v>2.46</v>
      </c>
      <c r="H97" s="14">
        <v>44805</v>
      </c>
    </row>
    <row r="98" spans="1:8" ht="12.75" x14ac:dyDescent="0.2">
      <c r="A98" s="12" t="s">
        <v>109</v>
      </c>
      <c r="B98" s="13">
        <v>72</v>
      </c>
      <c r="C98" s="13">
        <v>72</v>
      </c>
      <c r="D98" s="13">
        <v>57</v>
      </c>
      <c r="E98" s="15">
        <v>65.25</v>
      </c>
      <c r="F98" s="8" t="s">
        <v>51</v>
      </c>
      <c r="G98" s="8">
        <v>2.36</v>
      </c>
      <c r="H98" s="14">
        <v>44805</v>
      </c>
    </row>
    <row r="99" spans="1:8" ht="12.75" x14ac:dyDescent="0.2">
      <c r="A99" s="12" t="s">
        <v>70</v>
      </c>
      <c r="B99" s="13">
        <v>67</v>
      </c>
      <c r="C99" s="13">
        <v>69</v>
      </c>
      <c r="D99" s="13">
        <v>53</v>
      </c>
      <c r="E99" s="15">
        <v>61.3</v>
      </c>
      <c r="F99" s="8" t="s">
        <v>51</v>
      </c>
      <c r="G99" s="8">
        <v>2.27</v>
      </c>
      <c r="H99" s="14">
        <v>44805</v>
      </c>
    </row>
    <row r="100" spans="1:8" ht="12.75" x14ac:dyDescent="0.2">
      <c r="A100" s="12" t="s">
        <v>110</v>
      </c>
      <c r="B100" s="13">
        <v>70</v>
      </c>
      <c r="C100" s="13">
        <v>66</v>
      </c>
      <c r="D100" s="13">
        <v>63</v>
      </c>
      <c r="E100" s="15">
        <v>65.650000000000006</v>
      </c>
      <c r="F100" s="8" t="s">
        <v>51</v>
      </c>
      <c r="G100" s="8">
        <v>2.57</v>
      </c>
      <c r="H100" s="14">
        <v>44805</v>
      </c>
    </row>
    <row r="101" spans="1:8" ht="12.75" x14ac:dyDescent="0.2">
      <c r="A101" s="12" t="s">
        <v>111</v>
      </c>
      <c r="B101" s="13">
        <v>64</v>
      </c>
      <c r="C101" s="13">
        <v>64</v>
      </c>
      <c r="D101" s="13">
        <v>52</v>
      </c>
      <c r="E101" s="15">
        <v>58.6</v>
      </c>
      <c r="F101" s="8" t="s">
        <v>51</v>
      </c>
      <c r="G101" s="8">
        <v>2.41</v>
      </c>
      <c r="H101" s="14">
        <v>44805</v>
      </c>
    </row>
    <row r="102" spans="1:8" ht="12.75" x14ac:dyDescent="0.2">
      <c r="A102" s="12" t="s">
        <v>112</v>
      </c>
      <c r="B102" s="13">
        <v>71</v>
      </c>
      <c r="C102" s="13">
        <v>71</v>
      </c>
      <c r="D102" s="13">
        <v>60</v>
      </c>
      <c r="E102" s="15">
        <v>66.05</v>
      </c>
      <c r="F102" s="8" t="s">
        <v>51</v>
      </c>
      <c r="G102" s="8">
        <v>2.25</v>
      </c>
      <c r="H102" s="14">
        <v>44805</v>
      </c>
    </row>
    <row r="103" spans="1:8" ht="12.75" x14ac:dyDescent="0.2">
      <c r="A103" s="12" t="s">
        <v>113</v>
      </c>
      <c r="B103" s="13">
        <v>80</v>
      </c>
      <c r="C103" s="13">
        <v>71</v>
      </c>
      <c r="D103" s="13">
        <v>53</v>
      </c>
      <c r="E103" s="15">
        <v>65.150000000000006</v>
      </c>
      <c r="F103" s="8" t="s">
        <v>51</v>
      </c>
      <c r="G103" s="8">
        <v>2.4900000000000002</v>
      </c>
      <c r="H103" s="14">
        <v>44805</v>
      </c>
    </row>
    <row r="104" spans="1:8" ht="12.75" x14ac:dyDescent="0.2">
      <c r="A104" s="12" t="s">
        <v>114</v>
      </c>
      <c r="B104" s="13">
        <v>71</v>
      </c>
      <c r="C104" s="13">
        <v>55</v>
      </c>
      <c r="D104" s="13">
        <v>56</v>
      </c>
      <c r="E104" s="15">
        <v>59.45</v>
      </c>
      <c r="F104" s="8" t="s">
        <v>51</v>
      </c>
      <c r="G104" s="8">
        <v>2.29</v>
      </c>
      <c r="H104" s="14">
        <v>44805</v>
      </c>
    </row>
    <row r="105" spans="1:8" ht="15" x14ac:dyDescent="0.25">
      <c r="A105" s="11" t="s">
        <v>115</v>
      </c>
      <c r="B105" s="5">
        <v>74</v>
      </c>
      <c r="C105" s="5">
        <v>74</v>
      </c>
      <c r="D105" s="5">
        <v>76</v>
      </c>
      <c r="E105" s="7">
        <v>74.900000000000006</v>
      </c>
      <c r="F105" s="23" t="str">
        <f t="shared" ref="F105:F135" si="2">IF(E105&gt;=70,"PASSED", "---")</f>
        <v>PASSED</v>
      </c>
      <c r="G105" s="22">
        <v>1.7089000000000001</v>
      </c>
      <c r="H105" s="10">
        <v>45017</v>
      </c>
    </row>
    <row r="106" spans="1:8" ht="15" x14ac:dyDescent="0.25">
      <c r="A106" s="11" t="s">
        <v>116</v>
      </c>
      <c r="B106" s="5">
        <v>87</v>
      </c>
      <c r="C106" s="5">
        <v>80</v>
      </c>
      <c r="D106" s="5">
        <v>88</v>
      </c>
      <c r="E106" s="7">
        <v>85.35</v>
      </c>
      <c r="F106" s="23" t="str">
        <f t="shared" si="2"/>
        <v>PASSED</v>
      </c>
      <c r="G106" s="22">
        <v>1.653</v>
      </c>
      <c r="H106" s="10">
        <v>45017</v>
      </c>
    </row>
    <row r="107" spans="1:8" ht="15" x14ac:dyDescent="0.25">
      <c r="A107" s="11" t="s">
        <v>117</v>
      </c>
      <c r="B107" s="5">
        <v>86</v>
      </c>
      <c r="C107" s="5">
        <v>80</v>
      </c>
      <c r="D107" s="5">
        <v>80</v>
      </c>
      <c r="E107" s="7">
        <v>81.5</v>
      </c>
      <c r="F107" s="23" t="str">
        <f t="shared" si="2"/>
        <v>PASSED</v>
      </c>
      <c r="G107" s="22">
        <v>1.7838000000000001</v>
      </c>
      <c r="H107" s="10">
        <v>45017</v>
      </c>
    </row>
    <row r="108" spans="1:8" ht="15" x14ac:dyDescent="0.25">
      <c r="A108" s="11" t="s">
        <v>118</v>
      </c>
      <c r="B108" s="5">
        <v>87</v>
      </c>
      <c r="C108" s="5">
        <v>82</v>
      </c>
      <c r="D108" s="5">
        <v>91</v>
      </c>
      <c r="E108" s="7">
        <v>87.3</v>
      </c>
      <c r="F108" s="23" t="str">
        <f t="shared" si="2"/>
        <v>PASSED</v>
      </c>
      <c r="G108" s="22">
        <v>1.2338</v>
      </c>
      <c r="H108" s="10">
        <v>45017</v>
      </c>
    </row>
    <row r="109" spans="1:8" ht="15" x14ac:dyDescent="0.25">
      <c r="A109" s="11" t="s">
        <v>119</v>
      </c>
      <c r="B109" s="5">
        <v>75</v>
      </c>
      <c r="C109" s="5">
        <v>73</v>
      </c>
      <c r="D109" s="5">
        <v>75</v>
      </c>
      <c r="E109" s="7">
        <v>74.400000000000006</v>
      </c>
      <c r="F109" s="23" t="str">
        <f t="shared" si="2"/>
        <v>PASSED</v>
      </c>
      <c r="G109" s="22">
        <v>1.6956</v>
      </c>
      <c r="H109" s="10">
        <v>45017</v>
      </c>
    </row>
    <row r="110" spans="1:8" ht="12.75" x14ac:dyDescent="0.2">
      <c r="A110" s="11" t="s">
        <v>120</v>
      </c>
      <c r="B110" s="5">
        <v>77</v>
      </c>
      <c r="C110" s="5">
        <v>70</v>
      </c>
      <c r="D110" s="5">
        <v>67</v>
      </c>
      <c r="E110" s="7">
        <v>70.400000000000006</v>
      </c>
      <c r="F110" s="23" t="str">
        <f t="shared" si="2"/>
        <v>PASSED</v>
      </c>
      <c r="G110" s="9">
        <v>1.7242</v>
      </c>
      <c r="H110" s="10">
        <v>45017</v>
      </c>
    </row>
    <row r="111" spans="1:8" ht="15" x14ac:dyDescent="0.25">
      <c r="A111" s="11" t="s">
        <v>121</v>
      </c>
      <c r="B111" s="5">
        <v>83</v>
      </c>
      <c r="C111" s="5">
        <v>80</v>
      </c>
      <c r="D111" s="5">
        <v>81</v>
      </c>
      <c r="E111" s="7">
        <v>81.2</v>
      </c>
      <c r="F111" s="23" t="str">
        <f t="shared" si="2"/>
        <v>PASSED</v>
      </c>
      <c r="G111" s="22">
        <v>1.9309000000000001</v>
      </c>
      <c r="H111" s="10">
        <v>45017</v>
      </c>
    </row>
    <row r="112" spans="1:8" ht="15" x14ac:dyDescent="0.25">
      <c r="A112" s="11" t="s">
        <v>122</v>
      </c>
      <c r="B112" s="5">
        <v>75</v>
      </c>
      <c r="C112" s="5">
        <v>71</v>
      </c>
      <c r="D112" s="5">
        <v>75</v>
      </c>
      <c r="E112" s="7">
        <v>73.8</v>
      </c>
      <c r="F112" s="23" t="str">
        <f t="shared" si="2"/>
        <v>PASSED</v>
      </c>
      <c r="G112" s="22">
        <v>1.7134</v>
      </c>
      <c r="H112" s="14">
        <v>45017</v>
      </c>
    </row>
    <row r="113" spans="1:8" ht="12.75" x14ac:dyDescent="0.2">
      <c r="A113" s="11" t="s">
        <v>123</v>
      </c>
      <c r="B113" s="5">
        <v>92</v>
      </c>
      <c r="C113" s="5">
        <v>84</v>
      </c>
      <c r="D113" s="5">
        <v>89</v>
      </c>
      <c r="E113" s="7">
        <v>88.25</v>
      </c>
      <c r="F113" s="23" t="str">
        <f t="shared" si="2"/>
        <v>PASSED</v>
      </c>
      <c r="G113" s="9">
        <v>1.56</v>
      </c>
      <c r="H113" s="24">
        <v>45017</v>
      </c>
    </row>
    <row r="114" spans="1:8" ht="15" x14ac:dyDescent="0.25">
      <c r="A114" s="12" t="s">
        <v>124</v>
      </c>
      <c r="B114" s="13">
        <v>70</v>
      </c>
      <c r="C114" s="13">
        <v>70</v>
      </c>
      <c r="D114" s="13">
        <v>70</v>
      </c>
      <c r="E114" s="7">
        <v>70</v>
      </c>
      <c r="F114" s="23" t="str">
        <f t="shared" si="2"/>
        <v>PASSED</v>
      </c>
      <c r="G114" s="25">
        <v>1.8399000000000001</v>
      </c>
      <c r="H114" s="14">
        <v>45017</v>
      </c>
    </row>
    <row r="115" spans="1:8" ht="12.75" x14ac:dyDescent="0.2">
      <c r="A115" s="12" t="s">
        <v>125</v>
      </c>
      <c r="B115" s="13">
        <v>78</v>
      </c>
      <c r="C115" s="13">
        <v>72</v>
      </c>
      <c r="D115" s="13">
        <v>78</v>
      </c>
      <c r="E115" s="7">
        <v>76.2</v>
      </c>
      <c r="F115" s="23" t="str">
        <f t="shared" si="2"/>
        <v>PASSED</v>
      </c>
      <c r="G115" s="8">
        <v>1.982</v>
      </c>
      <c r="H115" s="14">
        <v>45017</v>
      </c>
    </row>
    <row r="116" spans="1:8" ht="15" x14ac:dyDescent="0.25">
      <c r="A116" s="12" t="s">
        <v>126</v>
      </c>
      <c r="B116" s="13">
        <v>72</v>
      </c>
      <c r="C116" s="13">
        <v>71</v>
      </c>
      <c r="D116" s="13">
        <v>72</v>
      </c>
      <c r="E116" s="7">
        <v>71.7</v>
      </c>
      <c r="F116" s="23" t="str">
        <f t="shared" si="2"/>
        <v>PASSED</v>
      </c>
      <c r="G116" s="25">
        <v>1.9180999999999999</v>
      </c>
      <c r="H116" s="14">
        <v>45017</v>
      </c>
    </row>
    <row r="117" spans="1:8" ht="15" x14ac:dyDescent="0.25">
      <c r="A117" s="12" t="s">
        <v>127</v>
      </c>
      <c r="B117" s="13">
        <v>84</v>
      </c>
      <c r="C117" s="13">
        <v>71</v>
      </c>
      <c r="D117" s="13">
        <v>84</v>
      </c>
      <c r="E117" s="7">
        <v>80.099999999999994</v>
      </c>
      <c r="F117" s="23" t="str">
        <f t="shared" si="2"/>
        <v>PASSED</v>
      </c>
      <c r="G117" s="25">
        <v>1.7323</v>
      </c>
      <c r="H117" s="14">
        <v>45017</v>
      </c>
    </row>
    <row r="118" spans="1:8" ht="15" x14ac:dyDescent="0.25">
      <c r="A118" s="12" t="s">
        <v>128</v>
      </c>
      <c r="B118" s="13">
        <v>77</v>
      </c>
      <c r="C118" s="13">
        <v>71</v>
      </c>
      <c r="D118" s="13">
        <v>80</v>
      </c>
      <c r="E118" s="7">
        <v>76.55</v>
      </c>
      <c r="F118" s="23" t="str">
        <f t="shared" si="2"/>
        <v>PASSED</v>
      </c>
      <c r="G118" s="25">
        <v>2.1</v>
      </c>
      <c r="H118" s="14">
        <v>45017</v>
      </c>
    </row>
    <row r="119" spans="1:8" ht="15" x14ac:dyDescent="0.25">
      <c r="A119" s="12" t="s">
        <v>129</v>
      </c>
      <c r="B119" s="13">
        <v>70</v>
      </c>
      <c r="C119" s="13">
        <v>70</v>
      </c>
      <c r="D119" s="13">
        <v>70</v>
      </c>
      <c r="E119" s="7">
        <v>70</v>
      </c>
      <c r="F119" s="23" t="str">
        <f t="shared" si="2"/>
        <v>PASSED</v>
      </c>
      <c r="G119" s="22">
        <v>2.42</v>
      </c>
      <c r="H119" s="14">
        <v>45017</v>
      </c>
    </row>
    <row r="120" spans="1:8" ht="15" x14ac:dyDescent="0.25">
      <c r="A120" s="12" t="s">
        <v>130</v>
      </c>
      <c r="B120" s="13">
        <v>78</v>
      </c>
      <c r="C120" s="13">
        <v>66</v>
      </c>
      <c r="D120" s="13">
        <v>75</v>
      </c>
      <c r="E120" s="7">
        <v>73.05</v>
      </c>
      <c r="F120" s="23" t="str">
        <f t="shared" si="2"/>
        <v>PASSED</v>
      </c>
      <c r="G120" s="22">
        <v>1.6147</v>
      </c>
      <c r="H120" s="24">
        <v>45017</v>
      </c>
    </row>
    <row r="121" spans="1:8" ht="15" x14ac:dyDescent="0.25">
      <c r="A121" s="12" t="s">
        <v>131</v>
      </c>
      <c r="B121" s="13">
        <v>78</v>
      </c>
      <c r="C121" s="13">
        <v>66</v>
      </c>
      <c r="D121" s="13">
        <v>75</v>
      </c>
      <c r="E121" s="7">
        <v>73.05</v>
      </c>
      <c r="F121" s="23" t="str">
        <f t="shared" si="2"/>
        <v>PASSED</v>
      </c>
      <c r="G121" s="22">
        <v>1.9750000000000001</v>
      </c>
      <c r="H121" s="10">
        <v>45017</v>
      </c>
    </row>
    <row r="122" spans="1:8" ht="15" x14ac:dyDescent="0.25">
      <c r="A122" s="12" t="s">
        <v>132</v>
      </c>
      <c r="B122" s="13">
        <v>84</v>
      </c>
      <c r="C122" s="13">
        <v>80</v>
      </c>
      <c r="D122" s="13">
        <v>77</v>
      </c>
      <c r="E122" s="7">
        <v>79.650000000000006</v>
      </c>
      <c r="F122" s="23" t="str">
        <f t="shared" si="2"/>
        <v>PASSED</v>
      </c>
      <c r="G122" s="22">
        <v>1.6765000000000001</v>
      </c>
      <c r="H122" s="24">
        <v>45017</v>
      </c>
    </row>
    <row r="123" spans="1:8" ht="15" x14ac:dyDescent="0.25">
      <c r="A123" s="12" t="s">
        <v>133</v>
      </c>
      <c r="B123" s="13">
        <v>89</v>
      </c>
      <c r="C123" s="13">
        <v>83</v>
      </c>
      <c r="D123" s="13">
        <v>87</v>
      </c>
      <c r="E123" s="7">
        <v>86.3</v>
      </c>
      <c r="F123" s="23" t="str">
        <f t="shared" si="2"/>
        <v>PASSED</v>
      </c>
      <c r="G123" s="22">
        <v>1.6351</v>
      </c>
      <c r="H123" s="24">
        <v>45017</v>
      </c>
    </row>
    <row r="124" spans="1:8" ht="15" x14ac:dyDescent="0.25">
      <c r="A124" s="12" t="s">
        <v>134</v>
      </c>
      <c r="B124" s="13">
        <v>90</v>
      </c>
      <c r="C124" s="13">
        <v>84</v>
      </c>
      <c r="D124" s="13">
        <v>90</v>
      </c>
      <c r="E124" s="7">
        <v>88.2</v>
      </c>
      <c r="F124" s="23" t="str">
        <f t="shared" si="2"/>
        <v>PASSED</v>
      </c>
      <c r="G124" s="22">
        <v>1.5153000000000001</v>
      </c>
      <c r="H124" s="14">
        <v>45017</v>
      </c>
    </row>
    <row r="125" spans="1:8" ht="15" x14ac:dyDescent="0.25">
      <c r="A125" s="12" t="s">
        <v>135</v>
      </c>
      <c r="B125" s="13">
        <v>84</v>
      </c>
      <c r="C125" s="13">
        <v>81</v>
      </c>
      <c r="D125" s="13">
        <v>84</v>
      </c>
      <c r="E125" s="7">
        <v>83.1</v>
      </c>
      <c r="F125" s="23" t="str">
        <f t="shared" si="2"/>
        <v>PASSED</v>
      </c>
      <c r="G125" s="25">
        <v>1.99</v>
      </c>
      <c r="H125" s="14">
        <v>45017</v>
      </c>
    </row>
    <row r="126" spans="1:8" ht="15" x14ac:dyDescent="0.25">
      <c r="A126" s="12" t="s">
        <v>136</v>
      </c>
      <c r="B126" s="13">
        <v>79</v>
      </c>
      <c r="C126" s="13">
        <v>72</v>
      </c>
      <c r="D126" s="13">
        <v>72</v>
      </c>
      <c r="E126" s="7">
        <v>73.75</v>
      </c>
      <c r="F126" s="23" t="str">
        <f t="shared" si="2"/>
        <v>PASSED</v>
      </c>
      <c r="G126" s="25">
        <v>1.8856999999999999</v>
      </c>
      <c r="H126" s="14">
        <v>45017</v>
      </c>
    </row>
    <row r="127" spans="1:8" ht="15" x14ac:dyDescent="0.25">
      <c r="A127" s="12" t="s">
        <v>137</v>
      </c>
      <c r="B127" s="13">
        <v>76</v>
      </c>
      <c r="C127" s="13">
        <v>63</v>
      </c>
      <c r="D127" s="13">
        <v>73</v>
      </c>
      <c r="E127" s="7">
        <v>70.75</v>
      </c>
      <c r="F127" s="23" t="str">
        <f t="shared" si="2"/>
        <v>PASSED</v>
      </c>
      <c r="G127" s="25">
        <v>1.8382400000000001</v>
      </c>
      <c r="H127" s="14">
        <v>45017</v>
      </c>
    </row>
    <row r="128" spans="1:8" ht="15" x14ac:dyDescent="0.25">
      <c r="A128" s="12" t="s">
        <v>138</v>
      </c>
      <c r="B128" s="13">
        <v>71</v>
      </c>
      <c r="C128" s="13">
        <v>71</v>
      </c>
      <c r="D128" s="13">
        <v>77</v>
      </c>
      <c r="E128" s="7">
        <v>73.7</v>
      </c>
      <c r="F128" s="23" t="str">
        <f t="shared" si="2"/>
        <v>PASSED</v>
      </c>
      <c r="G128" s="25">
        <v>2</v>
      </c>
      <c r="H128" s="14">
        <v>45017</v>
      </c>
    </row>
    <row r="129" spans="1:8" ht="12.75" x14ac:dyDescent="0.2">
      <c r="A129" s="12" t="s">
        <v>139</v>
      </c>
      <c r="B129" s="13">
        <v>70</v>
      </c>
      <c r="C129" s="13">
        <v>70</v>
      </c>
      <c r="D129" s="13">
        <v>70</v>
      </c>
      <c r="E129" s="7">
        <v>70</v>
      </c>
      <c r="F129" s="23" t="str">
        <f t="shared" si="2"/>
        <v>PASSED</v>
      </c>
      <c r="G129" s="8">
        <v>1.867</v>
      </c>
      <c r="H129" s="14">
        <v>45017</v>
      </c>
    </row>
    <row r="130" spans="1:8" ht="15" x14ac:dyDescent="0.25">
      <c r="A130" s="12" t="s">
        <v>140</v>
      </c>
      <c r="B130" s="13">
        <v>74</v>
      </c>
      <c r="C130" s="13">
        <v>77</v>
      </c>
      <c r="D130" s="13">
        <v>73</v>
      </c>
      <c r="E130" s="7">
        <v>74.45</v>
      </c>
      <c r="F130" s="23" t="str">
        <f t="shared" si="2"/>
        <v>PASSED</v>
      </c>
      <c r="G130" s="25">
        <v>1.6201000000000001</v>
      </c>
      <c r="H130" s="14">
        <v>45017</v>
      </c>
    </row>
    <row r="131" spans="1:8" ht="15" x14ac:dyDescent="0.25">
      <c r="A131" s="12" t="s">
        <v>141</v>
      </c>
      <c r="B131" s="13">
        <v>81</v>
      </c>
      <c r="C131" s="13">
        <v>77</v>
      </c>
      <c r="D131" s="13">
        <v>82</v>
      </c>
      <c r="E131" s="7">
        <v>80.25</v>
      </c>
      <c r="F131" s="23" t="str">
        <f t="shared" si="2"/>
        <v>PASSED</v>
      </c>
      <c r="G131" s="22">
        <v>1.7869999999999999</v>
      </c>
      <c r="H131" s="10">
        <v>45017</v>
      </c>
    </row>
    <row r="132" spans="1:8" ht="15" x14ac:dyDescent="0.25">
      <c r="A132" s="12" t="s">
        <v>142</v>
      </c>
      <c r="B132" s="13">
        <v>80</v>
      </c>
      <c r="C132" s="13">
        <v>77</v>
      </c>
      <c r="D132" s="13">
        <v>75</v>
      </c>
      <c r="E132" s="7">
        <v>76.849999999999994</v>
      </c>
      <c r="F132" s="23" t="str">
        <f t="shared" si="2"/>
        <v>PASSED</v>
      </c>
      <c r="G132" s="22">
        <v>1.6191</v>
      </c>
      <c r="H132" s="10">
        <v>45017</v>
      </c>
    </row>
    <row r="133" spans="1:8" ht="12.75" x14ac:dyDescent="0.2">
      <c r="A133" s="12" t="s">
        <v>143</v>
      </c>
      <c r="B133" s="13">
        <v>73</v>
      </c>
      <c r="C133" s="13">
        <v>74</v>
      </c>
      <c r="D133" s="13">
        <v>72</v>
      </c>
      <c r="E133" s="7">
        <v>72.849999999999994</v>
      </c>
      <c r="F133" s="23" t="str">
        <f t="shared" si="2"/>
        <v>PASSED</v>
      </c>
      <c r="G133" s="9">
        <v>2.13</v>
      </c>
      <c r="H133" s="10">
        <v>45017</v>
      </c>
    </row>
    <row r="134" spans="1:8" ht="12.75" x14ac:dyDescent="0.2">
      <c r="A134" s="12" t="s">
        <v>144</v>
      </c>
      <c r="B134" s="13">
        <v>82</v>
      </c>
      <c r="C134" s="13">
        <v>81</v>
      </c>
      <c r="D134" s="13">
        <v>84</v>
      </c>
      <c r="E134" s="7">
        <v>82.6</v>
      </c>
      <c r="F134" s="23" t="str">
        <f t="shared" si="2"/>
        <v>PASSED</v>
      </c>
      <c r="G134" s="9">
        <v>1.7521</v>
      </c>
      <c r="H134" s="24">
        <v>45017</v>
      </c>
    </row>
    <row r="135" spans="1:8" ht="15" x14ac:dyDescent="0.25">
      <c r="A135" s="12" t="s">
        <v>145</v>
      </c>
      <c r="B135" s="13">
        <v>75</v>
      </c>
      <c r="C135" s="13">
        <v>72</v>
      </c>
      <c r="D135" s="13">
        <v>75</v>
      </c>
      <c r="E135" s="7">
        <v>74.099999999999994</v>
      </c>
      <c r="F135" s="23" t="str">
        <f t="shared" si="2"/>
        <v>PASSED</v>
      </c>
      <c r="G135" s="22">
        <v>1.7735000000000001</v>
      </c>
      <c r="H135" s="10">
        <v>45017</v>
      </c>
    </row>
    <row r="136" spans="1:8" ht="15" x14ac:dyDescent="0.25">
      <c r="A136" s="6" t="s">
        <v>146</v>
      </c>
      <c r="B136" s="5">
        <v>64</v>
      </c>
      <c r="C136" s="5">
        <v>64</v>
      </c>
      <c r="D136" s="5">
        <v>72</v>
      </c>
      <c r="E136" s="15">
        <v>67.599999999999994</v>
      </c>
      <c r="F136" s="23" t="s">
        <v>51</v>
      </c>
      <c r="G136" s="9">
        <v>2.4500000000000002</v>
      </c>
      <c r="H136" s="10">
        <v>45017</v>
      </c>
    </row>
    <row r="137" spans="1:8" ht="12.75" x14ac:dyDescent="0.2">
      <c r="A137" s="11" t="s">
        <v>147</v>
      </c>
      <c r="B137" s="5">
        <v>60</v>
      </c>
      <c r="C137" s="5">
        <v>57</v>
      </c>
      <c r="D137" s="5">
        <v>50</v>
      </c>
      <c r="E137" s="15">
        <v>54.6</v>
      </c>
      <c r="F137" s="23" t="s">
        <v>51</v>
      </c>
      <c r="G137" s="9">
        <v>2.14</v>
      </c>
      <c r="H137" s="10">
        <v>45017</v>
      </c>
    </row>
    <row r="138" spans="1:8" ht="15" x14ac:dyDescent="0.25">
      <c r="A138" s="11" t="s">
        <v>148</v>
      </c>
      <c r="B138" s="5">
        <v>74</v>
      </c>
      <c r="C138" s="5">
        <v>46</v>
      </c>
      <c r="D138" s="5">
        <v>55</v>
      </c>
      <c r="E138" s="15">
        <v>57.05</v>
      </c>
      <c r="F138" s="23" t="s">
        <v>51</v>
      </c>
      <c r="G138" s="22">
        <v>1.8559000000000001</v>
      </c>
      <c r="H138" s="10">
        <v>45017</v>
      </c>
    </row>
    <row r="139" spans="1:8" ht="15" x14ac:dyDescent="0.25">
      <c r="A139" s="12" t="s">
        <v>149</v>
      </c>
      <c r="B139" s="13">
        <v>72</v>
      </c>
      <c r="C139" s="13">
        <v>60</v>
      </c>
      <c r="D139" s="13">
        <v>63</v>
      </c>
      <c r="E139" s="15">
        <v>64.349999999999994</v>
      </c>
      <c r="F139" s="23" t="s">
        <v>51</v>
      </c>
      <c r="G139" s="22">
        <v>1.9882</v>
      </c>
      <c r="H139" s="10">
        <v>45017</v>
      </c>
    </row>
    <row r="140" spans="1:8" ht="12.75" x14ac:dyDescent="0.2">
      <c r="A140" s="11" t="s">
        <v>150</v>
      </c>
      <c r="B140" s="5">
        <v>70</v>
      </c>
      <c r="C140" s="5">
        <v>63</v>
      </c>
      <c r="D140" s="5">
        <v>48</v>
      </c>
      <c r="E140" s="15">
        <v>58</v>
      </c>
      <c r="F140" s="23" t="s">
        <v>51</v>
      </c>
      <c r="G140" s="9">
        <v>2.4064000000000001</v>
      </c>
      <c r="H140" s="10">
        <v>45017</v>
      </c>
    </row>
    <row r="141" spans="1:8" ht="15" x14ac:dyDescent="0.25">
      <c r="A141" s="11" t="s">
        <v>151</v>
      </c>
      <c r="B141" s="5">
        <v>70</v>
      </c>
      <c r="C141" s="5">
        <v>55</v>
      </c>
      <c r="D141" s="5">
        <v>57</v>
      </c>
      <c r="E141" s="15">
        <v>59.65</v>
      </c>
      <c r="F141" s="23" t="s">
        <v>51</v>
      </c>
      <c r="G141" s="22">
        <v>2.1469</v>
      </c>
      <c r="H141" s="10">
        <v>45017</v>
      </c>
    </row>
    <row r="142" spans="1:8" ht="12.75" x14ac:dyDescent="0.2">
      <c r="A142" s="12" t="s">
        <v>1</v>
      </c>
      <c r="B142" s="13">
        <v>64</v>
      </c>
      <c r="C142" s="13">
        <v>67</v>
      </c>
      <c r="D142" s="13">
        <v>67</v>
      </c>
      <c r="E142" s="15">
        <v>66.25</v>
      </c>
      <c r="F142" s="23" t="s">
        <v>51</v>
      </c>
      <c r="G142" s="9">
        <v>2.2151999999999998</v>
      </c>
      <c r="H142" s="10">
        <v>45017</v>
      </c>
    </row>
    <row r="143" spans="1:8" ht="15" x14ac:dyDescent="0.25">
      <c r="A143" s="12" t="s">
        <v>152</v>
      </c>
      <c r="B143" s="13">
        <v>60</v>
      </c>
      <c r="C143" s="13">
        <v>60</v>
      </c>
      <c r="D143" s="13">
        <v>52</v>
      </c>
      <c r="E143" s="15">
        <v>56.4</v>
      </c>
      <c r="F143" s="23" t="s">
        <v>51</v>
      </c>
      <c r="G143" s="25">
        <v>2.4</v>
      </c>
      <c r="H143" s="14">
        <v>45017</v>
      </c>
    </row>
    <row r="144" spans="1:8" ht="12.75" x14ac:dyDescent="0.2">
      <c r="A144" s="12" t="s">
        <v>153</v>
      </c>
      <c r="B144" s="13">
        <v>57</v>
      </c>
      <c r="C144" s="13">
        <v>46</v>
      </c>
      <c r="D144" s="13">
        <v>55</v>
      </c>
      <c r="E144" s="15">
        <v>52.8</v>
      </c>
      <c r="F144" s="23" t="s">
        <v>51</v>
      </c>
      <c r="G144" s="8">
        <v>2.61</v>
      </c>
      <c r="H144" s="14">
        <v>45017</v>
      </c>
    </row>
    <row r="145" spans="1:8" ht="15" x14ac:dyDescent="0.25">
      <c r="A145" s="12" t="s">
        <v>154</v>
      </c>
      <c r="B145" s="13">
        <v>78</v>
      </c>
      <c r="C145" s="13">
        <v>70</v>
      </c>
      <c r="D145" s="13">
        <v>55</v>
      </c>
      <c r="E145" s="15">
        <v>65.25</v>
      </c>
      <c r="F145" s="23" t="s">
        <v>51</v>
      </c>
      <c r="G145" s="25">
        <v>1.8414999999999999</v>
      </c>
      <c r="H145" s="14">
        <v>45017</v>
      </c>
    </row>
    <row r="146" spans="1:8" ht="15" x14ac:dyDescent="0.25">
      <c r="A146" s="12" t="s">
        <v>155</v>
      </c>
      <c r="B146" s="13">
        <v>70</v>
      </c>
      <c r="C146" s="13">
        <v>60</v>
      </c>
      <c r="D146" s="13">
        <v>57</v>
      </c>
      <c r="E146" s="15">
        <v>61.15</v>
      </c>
      <c r="F146" s="23" t="s">
        <v>51</v>
      </c>
      <c r="G146" s="25">
        <v>1.93</v>
      </c>
      <c r="H146" s="14">
        <v>45017</v>
      </c>
    </row>
    <row r="147" spans="1:8" ht="12.75" x14ac:dyDescent="0.2">
      <c r="A147" s="12" t="s">
        <v>156</v>
      </c>
      <c r="B147" s="13">
        <v>53</v>
      </c>
      <c r="C147" s="13">
        <v>50</v>
      </c>
      <c r="D147" s="13">
        <v>56</v>
      </c>
      <c r="E147" s="15">
        <v>53.45</v>
      </c>
      <c r="F147" s="23" t="s">
        <v>51</v>
      </c>
      <c r="G147" s="8">
        <v>2.36</v>
      </c>
      <c r="H147" s="14">
        <v>45017</v>
      </c>
    </row>
    <row r="148" spans="1:8" ht="12.75" x14ac:dyDescent="0.2">
      <c r="A148" s="12" t="s">
        <v>157</v>
      </c>
      <c r="B148" s="13">
        <v>70</v>
      </c>
      <c r="C148" s="13">
        <v>46</v>
      </c>
      <c r="D148" s="13">
        <v>52</v>
      </c>
      <c r="E148" s="15">
        <v>54.7</v>
      </c>
      <c r="F148" s="23" t="s">
        <v>51</v>
      </c>
      <c r="G148" s="8">
        <v>2.169</v>
      </c>
      <c r="H148" s="14">
        <v>45017</v>
      </c>
    </row>
    <row r="149" spans="1:8" ht="15" x14ac:dyDescent="0.25">
      <c r="A149" s="26" t="s">
        <v>158</v>
      </c>
      <c r="B149" s="27">
        <v>81</v>
      </c>
      <c r="C149" s="27">
        <v>72</v>
      </c>
      <c r="D149" s="27">
        <v>74</v>
      </c>
      <c r="E149" s="7">
        <v>75.150000000000006</v>
      </c>
      <c r="F149" s="8" t="str">
        <f t="shared" ref="F149:F150" si="3">IF(E149&gt;=70,"PASSED", "---")</f>
        <v>PASSED</v>
      </c>
      <c r="G149" s="9">
        <v>1.9810000000000001</v>
      </c>
      <c r="H149" s="10">
        <v>45170</v>
      </c>
    </row>
    <row r="150" spans="1:8" ht="12.75" x14ac:dyDescent="0.2">
      <c r="A150" s="12" t="s">
        <v>159</v>
      </c>
      <c r="B150" s="13">
        <v>74</v>
      </c>
      <c r="C150" s="13">
        <v>67</v>
      </c>
      <c r="D150" s="13">
        <v>71</v>
      </c>
      <c r="E150" s="7">
        <v>70.55</v>
      </c>
      <c r="F150" s="8" t="str">
        <f t="shared" si="3"/>
        <v>PASSED</v>
      </c>
      <c r="G150" s="9">
        <v>2.0964999999999998</v>
      </c>
      <c r="H150" s="10">
        <v>45170</v>
      </c>
    </row>
    <row r="151" spans="1:8" ht="15" x14ac:dyDescent="0.25">
      <c r="A151" s="26" t="s">
        <v>160</v>
      </c>
      <c r="B151" s="27">
        <v>70</v>
      </c>
      <c r="C151" s="27">
        <v>59</v>
      </c>
      <c r="D151" s="27">
        <v>56</v>
      </c>
      <c r="E151" s="15">
        <v>60.4</v>
      </c>
      <c r="F151" s="8" t="s">
        <v>51</v>
      </c>
      <c r="G151" s="9">
        <v>1.57</v>
      </c>
      <c r="H151" s="10">
        <v>45170</v>
      </c>
    </row>
    <row r="152" spans="1:8" ht="15" x14ac:dyDescent="0.25">
      <c r="A152" s="26" t="s">
        <v>161</v>
      </c>
      <c r="B152" s="27">
        <v>80</v>
      </c>
      <c r="C152" s="27">
        <v>64</v>
      </c>
      <c r="D152" s="27">
        <v>56</v>
      </c>
      <c r="E152" s="15">
        <v>64.400000000000006</v>
      </c>
      <c r="F152" s="8" t="s">
        <v>51</v>
      </c>
      <c r="G152" s="22">
        <v>2.4470000000000001</v>
      </c>
      <c r="H152" s="10">
        <v>45170</v>
      </c>
    </row>
    <row r="153" spans="1:8" ht="15" x14ac:dyDescent="0.25">
      <c r="A153" s="26" t="s">
        <v>162</v>
      </c>
      <c r="B153" s="27">
        <v>60</v>
      </c>
      <c r="C153" s="27">
        <v>55</v>
      </c>
      <c r="D153" s="27">
        <v>53</v>
      </c>
      <c r="E153" s="15">
        <v>55.35</v>
      </c>
      <c r="F153" s="8" t="s">
        <v>51</v>
      </c>
      <c r="G153" s="9">
        <v>2.2151999999999998</v>
      </c>
      <c r="H153" s="10">
        <v>45170</v>
      </c>
    </row>
    <row r="154" spans="1:8" ht="12.75" x14ac:dyDescent="0.2">
      <c r="A154" s="12" t="s">
        <v>163</v>
      </c>
      <c r="B154" s="13">
        <v>72</v>
      </c>
      <c r="C154" s="13">
        <v>55</v>
      </c>
      <c r="D154" s="13">
        <v>60</v>
      </c>
      <c r="E154" s="15">
        <v>61.5</v>
      </c>
      <c r="F154" s="8" t="s">
        <v>51</v>
      </c>
      <c r="G154" s="9">
        <v>1.8920999999999999</v>
      </c>
      <c r="H154" s="10">
        <v>45170</v>
      </c>
    </row>
    <row r="155" spans="1:8" ht="12.75" x14ac:dyDescent="0.2">
      <c r="A155" s="12" t="s">
        <v>164</v>
      </c>
      <c r="B155" s="13">
        <v>55</v>
      </c>
      <c r="C155" s="13">
        <v>53</v>
      </c>
      <c r="D155" s="13">
        <v>46</v>
      </c>
      <c r="E155" s="15">
        <v>50.35</v>
      </c>
      <c r="F155" s="8" t="s">
        <v>51</v>
      </c>
      <c r="G155" s="8">
        <v>2.4214000000000002</v>
      </c>
      <c r="H155" s="14">
        <v>45170</v>
      </c>
    </row>
    <row r="156" spans="1:8" ht="12.75" x14ac:dyDescent="0.2">
      <c r="A156" s="12" t="s">
        <v>165</v>
      </c>
      <c r="B156" s="13">
        <v>73</v>
      </c>
      <c r="C156" s="13">
        <v>56</v>
      </c>
      <c r="D156" s="13">
        <v>71</v>
      </c>
      <c r="E156" s="15">
        <v>67</v>
      </c>
      <c r="F156" s="8" t="s">
        <v>51</v>
      </c>
      <c r="G156" s="8">
        <v>2.1720000000000002</v>
      </c>
      <c r="H156" s="14">
        <v>45170</v>
      </c>
    </row>
    <row r="157" spans="1:8" ht="12.75" x14ac:dyDescent="0.2">
      <c r="A157" s="12" t="s">
        <v>166</v>
      </c>
      <c r="B157" s="13">
        <v>48</v>
      </c>
      <c r="C157" s="13">
        <v>48</v>
      </c>
      <c r="D157" s="13">
        <v>45</v>
      </c>
      <c r="E157" s="15">
        <v>46.65</v>
      </c>
      <c r="F157" s="8" t="s">
        <v>51</v>
      </c>
      <c r="G157" s="8">
        <v>2.3944000000000001</v>
      </c>
      <c r="H157" s="14">
        <v>45170</v>
      </c>
    </row>
    <row r="158" spans="1:8" ht="15" x14ac:dyDescent="0.25">
      <c r="A158" s="6" t="s">
        <v>167</v>
      </c>
      <c r="B158" s="5">
        <v>77</v>
      </c>
      <c r="C158" s="5">
        <v>72</v>
      </c>
      <c r="D158" s="5">
        <v>69</v>
      </c>
      <c r="E158" s="7">
        <v>71.900000000000006</v>
      </c>
      <c r="F158" s="8" t="str">
        <f t="shared" ref="F158:F224" si="4">IF(E158&gt;=70,"PASSED", "---")</f>
        <v>PASSED</v>
      </c>
      <c r="G158" s="9">
        <v>1.8755999999999999</v>
      </c>
      <c r="H158" s="10">
        <v>45383</v>
      </c>
    </row>
    <row r="159" spans="1:8" ht="12.75" x14ac:dyDescent="0.2">
      <c r="A159" s="12" t="s">
        <v>168</v>
      </c>
      <c r="B159" s="13">
        <v>80</v>
      </c>
      <c r="C159" s="13">
        <v>78</v>
      </c>
      <c r="D159" s="13">
        <v>77</v>
      </c>
      <c r="E159" s="7">
        <v>78.05</v>
      </c>
      <c r="F159" s="8" t="str">
        <f t="shared" si="4"/>
        <v>PASSED</v>
      </c>
      <c r="G159" s="9">
        <v>1.7928999999999999</v>
      </c>
      <c r="H159" s="10">
        <v>45383</v>
      </c>
    </row>
    <row r="160" spans="1:8" ht="12.75" x14ac:dyDescent="0.2">
      <c r="A160" s="12" t="s">
        <v>169</v>
      </c>
      <c r="B160" s="13">
        <v>70</v>
      </c>
      <c r="C160" s="13">
        <v>70</v>
      </c>
      <c r="D160" s="13">
        <v>70</v>
      </c>
      <c r="E160" s="7">
        <v>70</v>
      </c>
      <c r="F160" s="8" t="str">
        <f t="shared" si="4"/>
        <v>PASSED</v>
      </c>
      <c r="G160" s="9">
        <v>1.7829999999999999</v>
      </c>
      <c r="H160" s="10">
        <v>45383</v>
      </c>
    </row>
    <row r="161" spans="1:8" ht="12.75" x14ac:dyDescent="0.2">
      <c r="A161" s="12" t="s">
        <v>170</v>
      </c>
      <c r="B161" s="13">
        <v>83</v>
      </c>
      <c r="C161" s="13">
        <v>77</v>
      </c>
      <c r="D161" s="13">
        <v>75</v>
      </c>
      <c r="E161" s="7">
        <v>77.599999999999994</v>
      </c>
      <c r="F161" s="8" t="str">
        <f t="shared" si="4"/>
        <v>PASSED</v>
      </c>
      <c r="G161" s="9">
        <v>1.7942</v>
      </c>
      <c r="H161" s="10">
        <v>45383</v>
      </c>
    </row>
    <row r="162" spans="1:8" ht="12.75" x14ac:dyDescent="0.2">
      <c r="A162" s="12" t="s">
        <v>171</v>
      </c>
      <c r="B162" s="13">
        <v>86</v>
      </c>
      <c r="C162" s="13">
        <v>81</v>
      </c>
      <c r="D162" s="13">
        <v>86</v>
      </c>
      <c r="E162" s="7">
        <v>84.5</v>
      </c>
      <c r="F162" s="8" t="str">
        <f t="shared" si="4"/>
        <v>PASSED</v>
      </c>
      <c r="G162" s="9">
        <v>1.75</v>
      </c>
      <c r="H162" s="14">
        <v>45383</v>
      </c>
    </row>
    <row r="163" spans="1:8" ht="12.75" x14ac:dyDescent="0.2">
      <c r="A163" s="12" t="s">
        <v>172</v>
      </c>
      <c r="B163" s="13">
        <v>77</v>
      </c>
      <c r="C163" s="13">
        <v>74</v>
      </c>
      <c r="D163" s="13">
        <v>69</v>
      </c>
      <c r="E163" s="7">
        <v>72.5</v>
      </c>
      <c r="F163" s="8" t="str">
        <f t="shared" si="4"/>
        <v>PASSED</v>
      </c>
      <c r="G163" s="9">
        <v>1.79</v>
      </c>
      <c r="H163" s="10">
        <v>45383</v>
      </c>
    </row>
    <row r="164" spans="1:8" ht="12.75" x14ac:dyDescent="0.2">
      <c r="A164" s="12" t="s">
        <v>173</v>
      </c>
      <c r="B164" s="13">
        <v>83</v>
      </c>
      <c r="C164" s="13">
        <v>81</v>
      </c>
      <c r="D164" s="13">
        <v>77</v>
      </c>
      <c r="E164" s="7">
        <v>79.7</v>
      </c>
      <c r="F164" s="8" t="str">
        <f t="shared" si="4"/>
        <v>PASSED</v>
      </c>
      <c r="G164" s="9">
        <v>1.72</v>
      </c>
      <c r="H164" s="10">
        <v>45383</v>
      </c>
    </row>
    <row r="165" spans="1:8" ht="12.75" x14ac:dyDescent="0.2">
      <c r="A165" s="12" t="s">
        <v>174</v>
      </c>
      <c r="B165" s="13">
        <v>80</v>
      </c>
      <c r="C165" s="13">
        <v>78</v>
      </c>
      <c r="D165" s="13">
        <v>79</v>
      </c>
      <c r="E165" s="7">
        <v>78.95</v>
      </c>
      <c r="F165" s="8" t="str">
        <f t="shared" si="4"/>
        <v>PASSED</v>
      </c>
      <c r="G165" s="9">
        <v>1.75</v>
      </c>
      <c r="H165" s="10">
        <v>45383</v>
      </c>
    </row>
    <row r="166" spans="1:8" ht="12.75" x14ac:dyDescent="0.2">
      <c r="A166" s="12" t="s">
        <v>175</v>
      </c>
      <c r="B166" s="13">
        <v>83</v>
      </c>
      <c r="C166" s="13">
        <v>80</v>
      </c>
      <c r="D166" s="13">
        <v>76</v>
      </c>
      <c r="E166" s="7">
        <v>78.95</v>
      </c>
      <c r="F166" s="8" t="str">
        <f t="shared" si="4"/>
        <v>PASSED</v>
      </c>
      <c r="G166" s="9">
        <v>1.67</v>
      </c>
      <c r="H166" s="10">
        <v>45383</v>
      </c>
    </row>
    <row r="167" spans="1:8" ht="12.75" x14ac:dyDescent="0.2">
      <c r="A167" s="12" t="s">
        <v>176</v>
      </c>
      <c r="B167" s="13">
        <v>88</v>
      </c>
      <c r="C167" s="13">
        <v>84</v>
      </c>
      <c r="D167" s="13">
        <v>87</v>
      </c>
      <c r="E167" s="7">
        <v>86.35</v>
      </c>
      <c r="F167" s="8" t="str">
        <f t="shared" si="4"/>
        <v>PASSED</v>
      </c>
      <c r="G167" s="9">
        <v>1.86</v>
      </c>
      <c r="H167" s="10">
        <v>45383</v>
      </c>
    </row>
    <row r="168" spans="1:8" ht="12.75" x14ac:dyDescent="0.2">
      <c r="A168" s="12" t="s">
        <v>177</v>
      </c>
      <c r="B168" s="13">
        <v>84</v>
      </c>
      <c r="C168" s="13">
        <v>84</v>
      </c>
      <c r="D168" s="13">
        <v>80</v>
      </c>
      <c r="E168" s="7">
        <v>82.2</v>
      </c>
      <c r="F168" s="8" t="str">
        <f t="shared" si="4"/>
        <v>PASSED</v>
      </c>
      <c r="G168" s="9">
        <v>1.728</v>
      </c>
      <c r="H168" s="10">
        <v>45383</v>
      </c>
    </row>
    <row r="169" spans="1:8" ht="12.75" x14ac:dyDescent="0.2">
      <c r="A169" s="12" t="s">
        <v>178</v>
      </c>
      <c r="B169" s="13">
        <v>86</v>
      </c>
      <c r="C169" s="13">
        <v>83</v>
      </c>
      <c r="D169" s="13">
        <v>81</v>
      </c>
      <c r="E169" s="7">
        <v>82.85</v>
      </c>
      <c r="F169" s="8" t="str">
        <f t="shared" si="4"/>
        <v>PASSED</v>
      </c>
      <c r="G169" s="9">
        <v>1.867</v>
      </c>
      <c r="H169" s="10">
        <v>45383</v>
      </c>
    </row>
    <row r="170" spans="1:8" ht="12.75" x14ac:dyDescent="0.2">
      <c r="A170" s="12" t="s">
        <v>179</v>
      </c>
      <c r="B170" s="13">
        <v>82</v>
      </c>
      <c r="C170" s="13">
        <v>75</v>
      </c>
      <c r="D170" s="13">
        <v>86</v>
      </c>
      <c r="E170" s="7">
        <v>81.7</v>
      </c>
      <c r="F170" s="8" t="str">
        <f t="shared" si="4"/>
        <v>PASSED</v>
      </c>
      <c r="G170" s="9">
        <v>2.0339999999999998</v>
      </c>
      <c r="H170" s="14">
        <v>45383</v>
      </c>
    </row>
    <row r="171" spans="1:8" ht="12.75" x14ac:dyDescent="0.2">
      <c r="A171" s="12" t="s">
        <v>180</v>
      </c>
      <c r="B171" s="13">
        <v>77</v>
      </c>
      <c r="C171" s="13">
        <v>78</v>
      </c>
      <c r="D171" s="13">
        <v>77</v>
      </c>
      <c r="E171" s="7">
        <v>77.3</v>
      </c>
      <c r="F171" s="8" t="str">
        <f t="shared" si="4"/>
        <v>PASSED</v>
      </c>
      <c r="G171" s="9">
        <v>1.76</v>
      </c>
      <c r="H171" s="10">
        <v>45383</v>
      </c>
    </row>
    <row r="172" spans="1:8" ht="12.75" x14ac:dyDescent="0.2">
      <c r="A172" s="12" t="s">
        <v>181</v>
      </c>
      <c r="B172" s="13">
        <v>82</v>
      </c>
      <c r="C172" s="13">
        <v>83</v>
      </c>
      <c r="D172" s="13">
        <v>77</v>
      </c>
      <c r="E172" s="7">
        <v>80.05</v>
      </c>
      <c r="F172" s="8" t="str">
        <f t="shared" si="4"/>
        <v>PASSED</v>
      </c>
      <c r="G172" s="9">
        <v>1.62</v>
      </c>
      <c r="H172" s="10">
        <v>45383</v>
      </c>
    </row>
    <row r="173" spans="1:8" ht="12.75" x14ac:dyDescent="0.2">
      <c r="A173" s="12" t="s">
        <v>182</v>
      </c>
      <c r="B173" s="13">
        <v>77</v>
      </c>
      <c r="C173" s="13">
        <v>75</v>
      </c>
      <c r="D173" s="13">
        <v>82</v>
      </c>
      <c r="E173" s="7">
        <v>78.650000000000006</v>
      </c>
      <c r="F173" s="8" t="str">
        <f t="shared" si="4"/>
        <v>PASSED</v>
      </c>
      <c r="G173" s="9">
        <v>1.829</v>
      </c>
      <c r="H173" s="14">
        <v>45383</v>
      </c>
    </row>
    <row r="174" spans="1:8" ht="12.75" x14ac:dyDescent="0.2">
      <c r="A174" s="12" t="s">
        <v>183</v>
      </c>
      <c r="B174" s="13">
        <v>70</v>
      </c>
      <c r="C174" s="13">
        <v>70</v>
      </c>
      <c r="D174" s="13">
        <v>70</v>
      </c>
      <c r="E174" s="7">
        <v>70</v>
      </c>
      <c r="F174" s="8" t="str">
        <f t="shared" si="4"/>
        <v>PASSED</v>
      </c>
      <c r="G174" s="9">
        <v>1.7010000000000001</v>
      </c>
      <c r="H174" s="10">
        <v>45383</v>
      </c>
    </row>
    <row r="175" spans="1:8" ht="12.75" x14ac:dyDescent="0.2">
      <c r="A175" s="12" t="s">
        <v>184</v>
      </c>
      <c r="B175" s="13">
        <v>83</v>
      </c>
      <c r="C175" s="13">
        <v>75</v>
      </c>
      <c r="D175" s="13">
        <v>79</v>
      </c>
      <c r="E175" s="7">
        <v>78.8</v>
      </c>
      <c r="F175" s="8" t="str">
        <f t="shared" si="4"/>
        <v>PASSED</v>
      </c>
      <c r="G175" s="9">
        <v>1.7629999999999999</v>
      </c>
      <c r="H175" s="10">
        <v>45383</v>
      </c>
    </row>
    <row r="176" spans="1:8" ht="12.75" x14ac:dyDescent="0.2">
      <c r="A176" s="12" t="s">
        <v>185</v>
      </c>
      <c r="B176" s="13">
        <v>84</v>
      </c>
      <c r="C176" s="13">
        <v>87</v>
      </c>
      <c r="D176" s="13">
        <v>80</v>
      </c>
      <c r="E176" s="7">
        <v>83.1</v>
      </c>
      <c r="F176" s="8" t="str">
        <f t="shared" si="4"/>
        <v>PASSED</v>
      </c>
      <c r="G176" s="9">
        <v>1.7</v>
      </c>
      <c r="H176" s="10">
        <v>45383</v>
      </c>
    </row>
    <row r="177" spans="1:8" ht="12.75" x14ac:dyDescent="0.2">
      <c r="A177" s="12" t="s">
        <v>186</v>
      </c>
      <c r="B177" s="13">
        <v>84</v>
      </c>
      <c r="C177" s="13">
        <v>77</v>
      </c>
      <c r="D177" s="13">
        <v>78</v>
      </c>
      <c r="E177" s="7">
        <v>79.2</v>
      </c>
      <c r="F177" s="8" t="str">
        <f t="shared" si="4"/>
        <v>PASSED</v>
      </c>
      <c r="G177" s="9">
        <v>1.66</v>
      </c>
      <c r="H177" s="10">
        <v>45383</v>
      </c>
    </row>
    <row r="178" spans="1:8" ht="12.75" x14ac:dyDescent="0.2">
      <c r="A178" s="12" t="s">
        <v>187</v>
      </c>
      <c r="B178" s="13">
        <v>77</v>
      </c>
      <c r="C178" s="13">
        <v>78</v>
      </c>
      <c r="D178" s="13">
        <v>81</v>
      </c>
      <c r="E178" s="7">
        <v>79.099999999999994</v>
      </c>
      <c r="F178" s="8" t="str">
        <f t="shared" si="4"/>
        <v>PASSED</v>
      </c>
      <c r="G178" s="9">
        <v>2.125</v>
      </c>
      <c r="H178" s="24">
        <v>45383</v>
      </c>
    </row>
    <row r="179" spans="1:8" ht="12.75" x14ac:dyDescent="0.2">
      <c r="A179" s="12" t="s">
        <v>188</v>
      </c>
      <c r="B179" s="13">
        <v>83</v>
      </c>
      <c r="C179" s="13">
        <v>77</v>
      </c>
      <c r="D179" s="13">
        <v>77</v>
      </c>
      <c r="E179" s="7">
        <v>78.5</v>
      </c>
      <c r="F179" s="8" t="str">
        <f t="shared" si="4"/>
        <v>PASSED</v>
      </c>
      <c r="G179" s="9">
        <v>1.76</v>
      </c>
      <c r="H179" s="10">
        <v>45383</v>
      </c>
    </row>
    <row r="180" spans="1:8" ht="12.75" x14ac:dyDescent="0.2">
      <c r="A180" s="12" t="s">
        <v>189</v>
      </c>
      <c r="B180" s="13">
        <v>74</v>
      </c>
      <c r="C180" s="13">
        <v>72</v>
      </c>
      <c r="D180" s="13">
        <v>67</v>
      </c>
      <c r="E180" s="7">
        <v>70.25</v>
      </c>
      <c r="F180" s="8" t="str">
        <f t="shared" si="4"/>
        <v>PASSED</v>
      </c>
      <c r="G180" s="9">
        <v>1.77</v>
      </c>
      <c r="H180" s="10">
        <v>45383</v>
      </c>
    </row>
    <row r="181" spans="1:8" ht="15" x14ac:dyDescent="0.25">
      <c r="A181" s="12" t="s">
        <v>190</v>
      </c>
      <c r="B181" s="13">
        <v>88</v>
      </c>
      <c r="C181" s="13">
        <v>80</v>
      </c>
      <c r="D181" s="13">
        <v>89</v>
      </c>
      <c r="E181" s="7">
        <v>86.05</v>
      </c>
      <c r="F181" s="8" t="str">
        <f t="shared" si="4"/>
        <v>PASSED</v>
      </c>
      <c r="G181" s="22">
        <v>1.7665</v>
      </c>
      <c r="H181" s="10">
        <v>45383</v>
      </c>
    </row>
    <row r="182" spans="1:8" ht="12.75" x14ac:dyDescent="0.2">
      <c r="A182" s="12" t="s">
        <v>191</v>
      </c>
      <c r="B182" s="13">
        <v>77</v>
      </c>
      <c r="C182" s="13">
        <v>71</v>
      </c>
      <c r="D182" s="13">
        <v>73</v>
      </c>
      <c r="E182" s="7">
        <v>73.400000000000006</v>
      </c>
      <c r="F182" s="8" t="str">
        <f t="shared" si="4"/>
        <v>PASSED</v>
      </c>
      <c r="G182" s="9">
        <v>1.89</v>
      </c>
      <c r="H182" s="14">
        <v>45383</v>
      </c>
    </row>
    <row r="183" spans="1:8" ht="12.75" x14ac:dyDescent="0.2">
      <c r="A183" s="12" t="s">
        <v>192</v>
      </c>
      <c r="B183" s="13">
        <v>76</v>
      </c>
      <c r="C183" s="13">
        <v>71</v>
      </c>
      <c r="D183" s="13">
        <v>74</v>
      </c>
      <c r="E183" s="7">
        <v>73.599999999999994</v>
      </c>
      <c r="F183" s="8" t="str">
        <f t="shared" si="4"/>
        <v>PASSED</v>
      </c>
      <c r="G183" s="9">
        <v>1.788</v>
      </c>
      <c r="H183" s="10">
        <v>45383</v>
      </c>
    </row>
    <row r="184" spans="1:8" ht="12.75" x14ac:dyDescent="0.2">
      <c r="A184" s="12" t="s">
        <v>193</v>
      </c>
      <c r="B184" s="13">
        <v>83</v>
      </c>
      <c r="C184" s="13">
        <v>75</v>
      </c>
      <c r="D184" s="13">
        <v>82</v>
      </c>
      <c r="E184" s="7">
        <v>80.150000000000006</v>
      </c>
      <c r="F184" s="8" t="str">
        <f t="shared" si="4"/>
        <v>PASSED</v>
      </c>
      <c r="G184" s="9">
        <v>1.75</v>
      </c>
      <c r="H184" s="10">
        <v>45383</v>
      </c>
    </row>
    <row r="185" spans="1:8" ht="12.75" x14ac:dyDescent="0.2">
      <c r="A185" s="12" t="s">
        <v>194</v>
      </c>
      <c r="B185" s="13">
        <v>77</v>
      </c>
      <c r="C185" s="13">
        <v>72</v>
      </c>
      <c r="D185" s="13">
        <v>74</v>
      </c>
      <c r="E185" s="7">
        <v>74.150000000000006</v>
      </c>
      <c r="F185" s="8" t="str">
        <f t="shared" si="4"/>
        <v>PASSED</v>
      </c>
      <c r="G185" s="9">
        <v>1.72</v>
      </c>
      <c r="H185" s="10">
        <v>45383</v>
      </c>
    </row>
    <row r="186" spans="1:8" ht="12.75" x14ac:dyDescent="0.2">
      <c r="A186" s="12" t="s">
        <v>195</v>
      </c>
      <c r="B186" s="13">
        <v>81</v>
      </c>
      <c r="C186" s="13">
        <v>78</v>
      </c>
      <c r="D186" s="13">
        <v>77</v>
      </c>
      <c r="E186" s="7">
        <v>78.3</v>
      </c>
      <c r="F186" s="8" t="str">
        <f t="shared" si="4"/>
        <v>PASSED</v>
      </c>
      <c r="G186" s="9">
        <v>1.68</v>
      </c>
      <c r="H186" s="10">
        <v>45383</v>
      </c>
    </row>
    <row r="187" spans="1:8" ht="12.75" x14ac:dyDescent="0.2">
      <c r="A187" s="12" t="s">
        <v>196</v>
      </c>
      <c r="B187" s="13">
        <v>81</v>
      </c>
      <c r="C187" s="13">
        <v>74</v>
      </c>
      <c r="D187" s="13">
        <v>80</v>
      </c>
      <c r="E187" s="7">
        <v>78.45</v>
      </c>
      <c r="F187" s="8" t="str">
        <f t="shared" si="4"/>
        <v>PASSED</v>
      </c>
      <c r="G187" s="9">
        <v>1.88</v>
      </c>
      <c r="H187" s="10">
        <v>45383</v>
      </c>
    </row>
    <row r="188" spans="1:8" ht="12.75" x14ac:dyDescent="0.2">
      <c r="A188" s="12" t="s">
        <v>197</v>
      </c>
      <c r="B188" s="13">
        <v>76</v>
      </c>
      <c r="C188" s="13">
        <v>72</v>
      </c>
      <c r="D188" s="13">
        <v>78</v>
      </c>
      <c r="E188" s="7">
        <v>75.7</v>
      </c>
      <c r="F188" s="8" t="str">
        <f t="shared" si="4"/>
        <v>PASSED</v>
      </c>
      <c r="G188" s="9">
        <v>1.73</v>
      </c>
      <c r="H188" s="10">
        <v>45383</v>
      </c>
    </row>
    <row r="189" spans="1:8" ht="12.75" x14ac:dyDescent="0.2">
      <c r="A189" s="12" t="s">
        <v>198</v>
      </c>
      <c r="B189" s="13">
        <v>94</v>
      </c>
      <c r="C189" s="13">
        <v>81</v>
      </c>
      <c r="D189" s="13">
        <v>87</v>
      </c>
      <c r="E189" s="7">
        <v>86.95</v>
      </c>
      <c r="F189" s="8" t="str">
        <f t="shared" si="4"/>
        <v>PASSED</v>
      </c>
      <c r="G189" s="9">
        <v>1.59</v>
      </c>
      <c r="H189" s="10">
        <v>45383</v>
      </c>
    </row>
    <row r="190" spans="1:8" ht="12.75" x14ac:dyDescent="0.2">
      <c r="A190" s="12" t="s">
        <v>199</v>
      </c>
      <c r="B190" s="13">
        <v>81</v>
      </c>
      <c r="C190" s="13">
        <v>80</v>
      </c>
      <c r="D190" s="13">
        <v>78</v>
      </c>
      <c r="E190" s="7">
        <v>79.349999999999994</v>
      </c>
      <c r="F190" s="8" t="str">
        <f t="shared" si="4"/>
        <v>PASSED</v>
      </c>
      <c r="G190" s="9">
        <v>1.71</v>
      </c>
      <c r="H190" s="10">
        <v>45383</v>
      </c>
    </row>
    <row r="191" spans="1:8" ht="12.75" x14ac:dyDescent="0.2">
      <c r="A191" s="12" t="s">
        <v>200</v>
      </c>
      <c r="B191" s="13">
        <v>93</v>
      </c>
      <c r="C191" s="13">
        <v>88</v>
      </c>
      <c r="D191" s="13">
        <v>86</v>
      </c>
      <c r="E191" s="7">
        <v>88.35</v>
      </c>
      <c r="F191" s="8" t="str">
        <f t="shared" si="4"/>
        <v>PASSED</v>
      </c>
      <c r="G191" s="9">
        <v>1.55</v>
      </c>
      <c r="H191" s="10">
        <v>45383</v>
      </c>
    </row>
    <row r="192" spans="1:8" ht="12.75" x14ac:dyDescent="0.2">
      <c r="A192" s="12" t="s">
        <v>201</v>
      </c>
      <c r="B192" s="13">
        <v>76</v>
      </c>
      <c r="C192" s="13">
        <v>80</v>
      </c>
      <c r="D192" s="13">
        <v>76</v>
      </c>
      <c r="E192" s="7">
        <v>77.2</v>
      </c>
      <c r="F192" s="8" t="str">
        <f t="shared" si="4"/>
        <v>PASSED</v>
      </c>
      <c r="G192" s="9">
        <v>1.83</v>
      </c>
      <c r="H192" s="10">
        <v>45383</v>
      </c>
    </row>
    <row r="193" spans="1:8" ht="12.75" x14ac:dyDescent="0.2">
      <c r="A193" s="12" t="s">
        <v>202</v>
      </c>
      <c r="B193" s="13">
        <v>77</v>
      </c>
      <c r="C193" s="13">
        <v>75</v>
      </c>
      <c r="D193" s="13">
        <v>72</v>
      </c>
      <c r="E193" s="7">
        <v>74.150000000000006</v>
      </c>
      <c r="F193" s="8" t="str">
        <f t="shared" si="4"/>
        <v>PASSED</v>
      </c>
      <c r="G193" s="9">
        <v>1.728</v>
      </c>
      <c r="H193" s="10">
        <v>45383</v>
      </c>
    </row>
    <row r="194" spans="1:8" ht="12.75" x14ac:dyDescent="0.2">
      <c r="A194" s="12" t="s">
        <v>203</v>
      </c>
      <c r="B194" s="13">
        <v>93</v>
      </c>
      <c r="C194" s="13">
        <v>84</v>
      </c>
      <c r="D194" s="13">
        <v>91</v>
      </c>
      <c r="E194" s="7">
        <v>89.4</v>
      </c>
      <c r="F194" s="8" t="str">
        <f t="shared" si="4"/>
        <v>PASSED</v>
      </c>
      <c r="G194" s="9">
        <v>1.43</v>
      </c>
      <c r="H194" s="10">
        <v>45383</v>
      </c>
    </row>
    <row r="195" spans="1:8" ht="12.75" x14ac:dyDescent="0.2">
      <c r="A195" s="12" t="s">
        <v>204</v>
      </c>
      <c r="B195" s="13">
        <v>89</v>
      </c>
      <c r="C195" s="13">
        <v>83</v>
      </c>
      <c r="D195" s="13">
        <v>84</v>
      </c>
      <c r="E195" s="7">
        <v>84.95</v>
      </c>
      <c r="F195" s="8" t="str">
        <f t="shared" si="4"/>
        <v>PASSED</v>
      </c>
      <c r="G195" s="9">
        <v>1.68</v>
      </c>
      <c r="H195" s="24">
        <v>45383</v>
      </c>
    </row>
    <row r="196" spans="1:8" ht="12.75" x14ac:dyDescent="0.2">
      <c r="A196" s="12" t="s">
        <v>205</v>
      </c>
      <c r="B196" s="13">
        <v>80</v>
      </c>
      <c r="C196" s="13">
        <v>75</v>
      </c>
      <c r="D196" s="13">
        <v>78</v>
      </c>
      <c r="E196" s="7">
        <v>77.599999999999994</v>
      </c>
      <c r="F196" s="8" t="str">
        <f t="shared" si="4"/>
        <v>PASSED</v>
      </c>
      <c r="G196" s="9">
        <v>1.69</v>
      </c>
      <c r="H196" s="10">
        <v>45383</v>
      </c>
    </row>
    <row r="197" spans="1:8" ht="12.75" x14ac:dyDescent="0.2">
      <c r="A197" s="12" t="s">
        <v>206</v>
      </c>
      <c r="B197" s="13">
        <v>70</v>
      </c>
      <c r="C197" s="13">
        <v>70</v>
      </c>
      <c r="D197" s="13">
        <v>70</v>
      </c>
      <c r="E197" s="7">
        <v>70</v>
      </c>
      <c r="F197" s="8" t="str">
        <f t="shared" si="4"/>
        <v>PASSED</v>
      </c>
      <c r="G197" s="9">
        <v>1.9088000000000001</v>
      </c>
      <c r="H197" s="10">
        <v>45383</v>
      </c>
    </row>
    <row r="198" spans="1:8" ht="12.75" x14ac:dyDescent="0.2">
      <c r="A198" s="12" t="s">
        <v>207</v>
      </c>
      <c r="B198" s="13">
        <v>80</v>
      </c>
      <c r="C198" s="13">
        <v>82</v>
      </c>
      <c r="D198" s="13">
        <v>77</v>
      </c>
      <c r="E198" s="7">
        <v>79.25</v>
      </c>
      <c r="F198" s="8" t="str">
        <f t="shared" si="4"/>
        <v>PASSED</v>
      </c>
      <c r="G198" s="9">
        <v>1.8420000000000001</v>
      </c>
      <c r="H198" s="10">
        <v>45383</v>
      </c>
    </row>
    <row r="199" spans="1:8" ht="12.75" x14ac:dyDescent="0.2">
      <c r="A199" s="12" t="s">
        <v>208</v>
      </c>
      <c r="B199" s="13">
        <v>90</v>
      </c>
      <c r="C199" s="13">
        <v>78</v>
      </c>
      <c r="D199" s="13">
        <v>82</v>
      </c>
      <c r="E199" s="7">
        <v>82.8</v>
      </c>
      <c r="F199" s="8" t="str">
        <f t="shared" si="4"/>
        <v>PASSED</v>
      </c>
      <c r="G199" s="9">
        <v>1.6372</v>
      </c>
      <c r="H199" s="10">
        <v>45383</v>
      </c>
    </row>
    <row r="200" spans="1:8" ht="12.75" x14ac:dyDescent="0.2">
      <c r="A200" s="12" t="s">
        <v>209</v>
      </c>
      <c r="B200" s="13">
        <v>86</v>
      </c>
      <c r="C200" s="13">
        <v>80</v>
      </c>
      <c r="D200" s="13">
        <v>80</v>
      </c>
      <c r="E200" s="7">
        <v>81.5</v>
      </c>
      <c r="F200" s="8" t="str">
        <f t="shared" si="4"/>
        <v>PASSED</v>
      </c>
      <c r="G200" s="9">
        <v>1.65</v>
      </c>
      <c r="H200" s="10">
        <v>45383</v>
      </c>
    </row>
    <row r="201" spans="1:8" ht="12.75" x14ac:dyDescent="0.2">
      <c r="A201" s="12" t="s">
        <v>210</v>
      </c>
      <c r="B201" s="13">
        <v>88</v>
      </c>
      <c r="C201" s="13">
        <v>86</v>
      </c>
      <c r="D201" s="13">
        <v>87</v>
      </c>
      <c r="E201" s="7">
        <v>86.95</v>
      </c>
      <c r="F201" s="8" t="str">
        <f t="shared" si="4"/>
        <v>PASSED</v>
      </c>
      <c r="G201" s="9">
        <v>1.6910000000000001</v>
      </c>
      <c r="H201" s="10">
        <v>45383</v>
      </c>
    </row>
    <row r="202" spans="1:8" ht="12.75" x14ac:dyDescent="0.2">
      <c r="A202" s="12" t="s">
        <v>211</v>
      </c>
      <c r="B202" s="13">
        <v>80</v>
      </c>
      <c r="C202" s="13">
        <v>81</v>
      </c>
      <c r="D202" s="13">
        <v>78</v>
      </c>
      <c r="E202" s="7">
        <v>79.400000000000006</v>
      </c>
      <c r="F202" s="8" t="str">
        <f t="shared" si="4"/>
        <v>PASSED</v>
      </c>
      <c r="G202" s="9">
        <v>1.86</v>
      </c>
      <c r="H202" s="10">
        <v>45383</v>
      </c>
    </row>
    <row r="203" spans="1:8" ht="12.75" x14ac:dyDescent="0.2">
      <c r="A203" s="12" t="s">
        <v>212</v>
      </c>
      <c r="B203" s="13">
        <v>79</v>
      </c>
      <c r="C203" s="13">
        <v>77</v>
      </c>
      <c r="D203" s="13">
        <v>74</v>
      </c>
      <c r="E203" s="7">
        <v>76.150000000000006</v>
      </c>
      <c r="F203" s="8" t="str">
        <f t="shared" si="4"/>
        <v>PASSED</v>
      </c>
      <c r="G203" s="9">
        <v>2.17</v>
      </c>
      <c r="H203" s="10">
        <v>45383</v>
      </c>
    </row>
    <row r="204" spans="1:8" ht="12.75" x14ac:dyDescent="0.2">
      <c r="A204" s="12" t="s">
        <v>213</v>
      </c>
      <c r="B204" s="13">
        <v>80</v>
      </c>
      <c r="C204" s="13">
        <v>75</v>
      </c>
      <c r="D204" s="13">
        <v>84</v>
      </c>
      <c r="E204" s="7">
        <v>80.3</v>
      </c>
      <c r="F204" s="8" t="str">
        <f t="shared" si="4"/>
        <v>PASSED</v>
      </c>
      <c r="G204" s="9">
        <v>1.712</v>
      </c>
      <c r="H204" s="14">
        <v>45383</v>
      </c>
    </row>
    <row r="205" spans="1:8" ht="12.75" x14ac:dyDescent="0.2">
      <c r="A205" s="12" t="s">
        <v>214</v>
      </c>
      <c r="B205" s="13">
        <v>89</v>
      </c>
      <c r="C205" s="13">
        <v>81</v>
      </c>
      <c r="D205" s="13">
        <v>89</v>
      </c>
      <c r="E205" s="7">
        <v>86.6</v>
      </c>
      <c r="F205" s="8" t="str">
        <f t="shared" si="4"/>
        <v>PASSED</v>
      </c>
      <c r="G205" s="9">
        <v>1.72</v>
      </c>
      <c r="H205" s="10">
        <v>45383</v>
      </c>
    </row>
    <row r="206" spans="1:8" ht="12.75" x14ac:dyDescent="0.2">
      <c r="A206" s="12" t="s">
        <v>215</v>
      </c>
      <c r="B206" s="13">
        <v>83</v>
      </c>
      <c r="C206" s="13">
        <v>79</v>
      </c>
      <c r="D206" s="13">
        <v>72</v>
      </c>
      <c r="E206" s="7">
        <v>76.849999999999994</v>
      </c>
      <c r="F206" s="8" t="str">
        <f t="shared" si="4"/>
        <v>PASSED</v>
      </c>
      <c r="G206" s="9">
        <v>2.56</v>
      </c>
      <c r="H206" s="24">
        <v>45383</v>
      </c>
    </row>
    <row r="207" spans="1:8" ht="12.75" x14ac:dyDescent="0.2">
      <c r="A207" s="12" t="s">
        <v>216</v>
      </c>
      <c r="B207" s="13">
        <v>79</v>
      </c>
      <c r="C207" s="13">
        <v>78</v>
      </c>
      <c r="D207" s="13">
        <v>82</v>
      </c>
      <c r="E207" s="7">
        <v>80.05</v>
      </c>
      <c r="F207" s="8" t="str">
        <f t="shared" si="4"/>
        <v>PASSED</v>
      </c>
      <c r="G207" s="9">
        <v>1.81</v>
      </c>
      <c r="H207" s="10">
        <v>45383</v>
      </c>
    </row>
    <row r="208" spans="1:8" ht="12.75" x14ac:dyDescent="0.2">
      <c r="A208" s="12" t="s">
        <v>217</v>
      </c>
      <c r="B208" s="13">
        <v>83</v>
      </c>
      <c r="C208" s="13">
        <v>77</v>
      </c>
      <c r="D208" s="13">
        <v>80</v>
      </c>
      <c r="E208" s="7">
        <v>79.849999999999994</v>
      </c>
      <c r="F208" s="8" t="str">
        <f t="shared" si="4"/>
        <v>PASSED</v>
      </c>
      <c r="G208" s="9">
        <v>1.75</v>
      </c>
      <c r="H208" s="10">
        <v>45383</v>
      </c>
    </row>
    <row r="209" spans="1:8" ht="12.75" x14ac:dyDescent="0.2">
      <c r="A209" s="12" t="s">
        <v>218</v>
      </c>
      <c r="B209" s="13">
        <v>81</v>
      </c>
      <c r="C209" s="13">
        <v>74</v>
      </c>
      <c r="D209" s="13">
        <v>73</v>
      </c>
      <c r="E209" s="7">
        <v>75.3</v>
      </c>
      <c r="F209" s="8" t="str">
        <f t="shared" si="4"/>
        <v>PASSED</v>
      </c>
      <c r="G209" s="9">
        <v>2.19</v>
      </c>
      <c r="H209" s="10">
        <v>45383</v>
      </c>
    </row>
    <row r="210" spans="1:8" ht="12.75" x14ac:dyDescent="0.2">
      <c r="A210" s="12" t="s">
        <v>219</v>
      </c>
      <c r="B210" s="13">
        <v>87</v>
      </c>
      <c r="C210" s="13">
        <v>81</v>
      </c>
      <c r="D210" s="13">
        <v>80</v>
      </c>
      <c r="E210" s="7">
        <v>82.05</v>
      </c>
      <c r="F210" s="8" t="str">
        <f t="shared" si="4"/>
        <v>PASSED</v>
      </c>
      <c r="G210" s="9">
        <v>1.94</v>
      </c>
      <c r="H210" s="10">
        <v>45383</v>
      </c>
    </row>
    <row r="211" spans="1:8" ht="12.75" x14ac:dyDescent="0.2">
      <c r="A211" s="12" t="s">
        <v>220</v>
      </c>
      <c r="B211" s="13">
        <v>86</v>
      </c>
      <c r="C211" s="13">
        <v>81</v>
      </c>
      <c r="D211" s="13">
        <v>82</v>
      </c>
      <c r="E211" s="7">
        <v>82.7</v>
      </c>
      <c r="F211" s="8" t="str">
        <f t="shared" si="4"/>
        <v>PASSED</v>
      </c>
      <c r="G211" s="8">
        <v>1.87</v>
      </c>
      <c r="H211" s="14">
        <v>45383</v>
      </c>
    </row>
    <row r="212" spans="1:8" ht="12.75" x14ac:dyDescent="0.2">
      <c r="A212" s="12" t="s">
        <v>221</v>
      </c>
      <c r="B212" s="13">
        <v>72</v>
      </c>
      <c r="C212" s="13">
        <v>74</v>
      </c>
      <c r="D212" s="13">
        <v>71</v>
      </c>
      <c r="E212" s="7">
        <v>72.150000000000006</v>
      </c>
      <c r="F212" s="8" t="str">
        <f t="shared" si="4"/>
        <v>PASSED</v>
      </c>
      <c r="G212" s="8">
        <v>1.82</v>
      </c>
      <c r="H212" s="14">
        <v>45383</v>
      </c>
    </row>
    <row r="213" spans="1:8" ht="12.75" x14ac:dyDescent="0.2">
      <c r="A213" s="12" t="s">
        <v>222</v>
      </c>
      <c r="B213" s="13">
        <v>92</v>
      </c>
      <c r="C213" s="13">
        <v>89</v>
      </c>
      <c r="D213" s="13">
        <v>93</v>
      </c>
      <c r="E213" s="7">
        <v>91.55</v>
      </c>
      <c r="F213" s="8" t="str">
        <f t="shared" si="4"/>
        <v>PASSED</v>
      </c>
      <c r="G213" s="8">
        <v>1.6439999999999999</v>
      </c>
      <c r="H213" s="14">
        <v>45383</v>
      </c>
    </row>
    <row r="214" spans="1:8" ht="12.75" x14ac:dyDescent="0.2">
      <c r="A214" s="12" t="s">
        <v>223</v>
      </c>
      <c r="B214" s="13">
        <v>70</v>
      </c>
      <c r="C214" s="13">
        <v>70</v>
      </c>
      <c r="D214" s="13">
        <v>70</v>
      </c>
      <c r="E214" s="7">
        <v>70</v>
      </c>
      <c r="F214" s="8" t="str">
        <f t="shared" si="4"/>
        <v>PASSED</v>
      </c>
      <c r="G214" s="8">
        <v>2.0129999999999999</v>
      </c>
      <c r="H214" s="14">
        <v>45383</v>
      </c>
    </row>
    <row r="215" spans="1:8" ht="12.75" x14ac:dyDescent="0.2">
      <c r="A215" s="12" t="s">
        <v>224</v>
      </c>
      <c r="B215" s="13">
        <v>81</v>
      </c>
      <c r="C215" s="13">
        <v>74</v>
      </c>
      <c r="D215" s="13">
        <v>74</v>
      </c>
      <c r="E215" s="7">
        <v>75.75</v>
      </c>
      <c r="F215" s="8" t="str">
        <f t="shared" si="4"/>
        <v>PASSED</v>
      </c>
      <c r="G215" s="8">
        <v>1.512</v>
      </c>
      <c r="H215" s="14">
        <v>45383</v>
      </c>
    </row>
    <row r="216" spans="1:8" ht="12.75" x14ac:dyDescent="0.2">
      <c r="A216" s="12" t="s">
        <v>225</v>
      </c>
      <c r="B216" s="13">
        <v>94</v>
      </c>
      <c r="C216" s="13">
        <v>88</v>
      </c>
      <c r="D216" s="13">
        <v>92</v>
      </c>
      <c r="E216" s="7">
        <v>91.3</v>
      </c>
      <c r="F216" s="8" t="str">
        <f t="shared" si="4"/>
        <v>PASSED</v>
      </c>
      <c r="G216" s="8">
        <v>1.56</v>
      </c>
      <c r="H216" s="14">
        <v>45383</v>
      </c>
    </row>
    <row r="217" spans="1:8" ht="12.75" x14ac:dyDescent="0.2">
      <c r="A217" s="12" t="s">
        <v>226</v>
      </c>
      <c r="B217" s="13">
        <v>70</v>
      </c>
      <c r="C217" s="13">
        <v>70</v>
      </c>
      <c r="D217" s="13">
        <v>71</v>
      </c>
      <c r="E217" s="7">
        <v>70.45</v>
      </c>
      <c r="F217" s="8" t="str">
        <f t="shared" si="4"/>
        <v>PASSED</v>
      </c>
      <c r="G217" s="8">
        <v>1.82</v>
      </c>
      <c r="H217" s="14">
        <v>45383</v>
      </c>
    </row>
    <row r="218" spans="1:8" ht="12.75" x14ac:dyDescent="0.2">
      <c r="A218" s="12" t="s">
        <v>227</v>
      </c>
      <c r="B218" s="13">
        <v>82</v>
      </c>
      <c r="C218" s="13">
        <v>72</v>
      </c>
      <c r="D218" s="13">
        <v>78</v>
      </c>
      <c r="E218" s="7">
        <v>77.2</v>
      </c>
      <c r="F218" s="8" t="str">
        <f t="shared" si="4"/>
        <v>PASSED</v>
      </c>
      <c r="G218" s="8">
        <v>1.72</v>
      </c>
      <c r="H218" s="14">
        <v>45383</v>
      </c>
    </row>
    <row r="219" spans="1:8" ht="12.75" x14ac:dyDescent="0.2">
      <c r="A219" s="12" t="s">
        <v>228</v>
      </c>
      <c r="B219" s="13">
        <v>74</v>
      </c>
      <c r="C219" s="13">
        <v>69</v>
      </c>
      <c r="D219" s="13">
        <v>75</v>
      </c>
      <c r="E219" s="7">
        <v>72.95</v>
      </c>
      <c r="F219" s="8" t="str">
        <f t="shared" si="4"/>
        <v>PASSED</v>
      </c>
      <c r="G219" s="8">
        <v>1.982</v>
      </c>
      <c r="H219" s="14">
        <v>45383</v>
      </c>
    </row>
    <row r="220" spans="1:8" ht="12.75" x14ac:dyDescent="0.2">
      <c r="A220" s="12" t="s">
        <v>229</v>
      </c>
      <c r="B220" s="13">
        <v>82</v>
      </c>
      <c r="C220" s="13">
        <v>77</v>
      </c>
      <c r="D220" s="13">
        <v>74</v>
      </c>
      <c r="E220" s="7">
        <v>76.900000000000006</v>
      </c>
      <c r="F220" s="8" t="str">
        <f t="shared" si="4"/>
        <v>PASSED</v>
      </c>
      <c r="G220" s="8">
        <v>1.7</v>
      </c>
      <c r="H220" s="14">
        <v>45383</v>
      </c>
    </row>
    <row r="221" spans="1:8" ht="12.75" x14ac:dyDescent="0.2">
      <c r="A221" s="12" t="s">
        <v>230</v>
      </c>
      <c r="B221" s="13">
        <v>80</v>
      </c>
      <c r="C221" s="13">
        <v>80</v>
      </c>
      <c r="D221" s="13">
        <v>75</v>
      </c>
      <c r="E221" s="7">
        <v>77.75</v>
      </c>
      <c r="F221" s="8" t="str">
        <f t="shared" si="4"/>
        <v>PASSED</v>
      </c>
      <c r="G221" s="8">
        <v>1.82</v>
      </c>
      <c r="H221" s="14">
        <v>45383</v>
      </c>
    </row>
    <row r="222" spans="1:8" ht="12.75" x14ac:dyDescent="0.2">
      <c r="A222" s="12" t="s">
        <v>231</v>
      </c>
      <c r="B222" s="13">
        <v>87</v>
      </c>
      <c r="C222" s="13">
        <v>87</v>
      </c>
      <c r="D222" s="13">
        <v>84</v>
      </c>
      <c r="E222" s="7">
        <v>85.65</v>
      </c>
      <c r="F222" s="8" t="str">
        <f t="shared" si="4"/>
        <v>PASSED</v>
      </c>
      <c r="G222" s="8">
        <v>1.71</v>
      </c>
      <c r="H222" s="14">
        <v>45383</v>
      </c>
    </row>
    <row r="223" spans="1:8" ht="12.75" x14ac:dyDescent="0.2">
      <c r="A223" s="12" t="s">
        <v>232</v>
      </c>
      <c r="B223" s="13">
        <v>87</v>
      </c>
      <c r="C223" s="13">
        <v>78</v>
      </c>
      <c r="D223" s="13">
        <v>80</v>
      </c>
      <c r="E223" s="7">
        <v>81.150000000000006</v>
      </c>
      <c r="F223" s="8" t="str">
        <f t="shared" si="4"/>
        <v>PASSED</v>
      </c>
      <c r="G223" s="8">
        <v>1.83</v>
      </c>
      <c r="H223" s="14">
        <v>45383</v>
      </c>
    </row>
    <row r="224" spans="1:8" ht="12.75" x14ac:dyDescent="0.2">
      <c r="A224" s="12" t="s">
        <v>233</v>
      </c>
      <c r="B224" s="13">
        <v>86</v>
      </c>
      <c r="C224" s="13">
        <v>87</v>
      </c>
      <c r="D224" s="13">
        <v>90</v>
      </c>
      <c r="E224" s="7">
        <v>88.1</v>
      </c>
      <c r="F224" s="8" t="str">
        <f t="shared" si="4"/>
        <v>PASSED</v>
      </c>
      <c r="G224" s="8">
        <v>1.46</v>
      </c>
      <c r="H224" s="14">
        <v>45383</v>
      </c>
    </row>
    <row r="225" spans="1:8" ht="12.75" x14ac:dyDescent="0.2">
      <c r="A225" s="12" t="s">
        <v>234</v>
      </c>
      <c r="B225" s="13">
        <v>72</v>
      </c>
      <c r="C225" s="13">
        <v>53</v>
      </c>
      <c r="D225" s="13">
        <v>55</v>
      </c>
      <c r="E225" s="15">
        <v>58.55</v>
      </c>
      <c r="F225" s="8" t="s">
        <v>51</v>
      </c>
      <c r="G225" s="9">
        <v>1.98</v>
      </c>
      <c r="H225" s="10">
        <v>45383</v>
      </c>
    </row>
    <row r="226" spans="1:8" ht="12.75" x14ac:dyDescent="0.2">
      <c r="A226" s="12" t="s">
        <v>235</v>
      </c>
      <c r="B226" s="13">
        <v>63</v>
      </c>
      <c r="C226" s="13">
        <v>69</v>
      </c>
      <c r="D226" s="13">
        <v>70</v>
      </c>
      <c r="E226" s="15">
        <v>67.95</v>
      </c>
      <c r="F226" s="8" t="s">
        <v>51</v>
      </c>
      <c r="G226" s="9">
        <v>1.77</v>
      </c>
      <c r="H226" s="10">
        <v>45383</v>
      </c>
    </row>
    <row r="227" spans="1:8" ht="12.75" x14ac:dyDescent="0.2">
      <c r="A227" s="12" t="s">
        <v>236</v>
      </c>
      <c r="B227" s="13">
        <v>71</v>
      </c>
      <c r="C227" s="13">
        <v>67</v>
      </c>
      <c r="D227" s="13">
        <v>52</v>
      </c>
      <c r="E227" s="15">
        <v>61.25</v>
      </c>
      <c r="F227" s="8" t="s">
        <v>51</v>
      </c>
      <c r="G227" s="9">
        <v>1.82</v>
      </c>
      <c r="H227" s="10">
        <v>45383</v>
      </c>
    </row>
    <row r="228" spans="1:8" ht="15" x14ac:dyDescent="0.25">
      <c r="A228" s="12" t="s">
        <v>237</v>
      </c>
      <c r="B228" s="13">
        <v>71</v>
      </c>
      <c r="C228" s="13">
        <v>67</v>
      </c>
      <c r="D228" s="13">
        <v>52</v>
      </c>
      <c r="E228" s="15">
        <v>61.25</v>
      </c>
      <c r="F228" s="8" t="s">
        <v>51</v>
      </c>
      <c r="G228" s="22">
        <v>1.825</v>
      </c>
      <c r="H228" s="10">
        <v>45383</v>
      </c>
    </row>
    <row r="229" spans="1:8" ht="12.75" x14ac:dyDescent="0.2">
      <c r="A229" s="12" t="s">
        <v>238</v>
      </c>
      <c r="B229" s="13">
        <v>38</v>
      </c>
      <c r="C229" s="13">
        <v>45</v>
      </c>
      <c r="D229" s="13">
        <v>59</v>
      </c>
      <c r="E229" s="15">
        <v>49.55</v>
      </c>
      <c r="F229" s="8" t="s">
        <v>51</v>
      </c>
      <c r="G229" s="9">
        <v>1.7808999999999999</v>
      </c>
      <c r="H229" s="10">
        <v>45383</v>
      </c>
    </row>
    <row r="230" spans="1:8" ht="12.75" x14ac:dyDescent="0.2">
      <c r="A230" s="12" t="s">
        <v>239</v>
      </c>
      <c r="B230" s="13">
        <v>34</v>
      </c>
      <c r="C230" s="13">
        <v>52</v>
      </c>
      <c r="D230" s="13">
        <v>48</v>
      </c>
      <c r="E230" s="15">
        <v>45.7</v>
      </c>
      <c r="F230" s="8" t="s">
        <v>51</v>
      </c>
      <c r="G230" s="9">
        <v>2.2599999999999998</v>
      </c>
      <c r="H230" s="10">
        <v>45383</v>
      </c>
    </row>
    <row r="231" spans="1:8" ht="12.75" x14ac:dyDescent="0.2">
      <c r="A231" s="12" t="s">
        <v>240</v>
      </c>
      <c r="B231" s="13">
        <v>73</v>
      </c>
      <c r="C231" s="13">
        <v>75</v>
      </c>
      <c r="D231" s="13">
        <v>59</v>
      </c>
      <c r="E231" s="15">
        <v>67.3</v>
      </c>
      <c r="F231" s="8" t="s">
        <v>51</v>
      </c>
      <c r="G231" s="9">
        <v>1.89</v>
      </c>
      <c r="H231" s="10">
        <v>45383</v>
      </c>
    </row>
    <row r="232" spans="1:8" ht="12.75" x14ac:dyDescent="0.2">
      <c r="A232" s="12" t="s">
        <v>241</v>
      </c>
      <c r="B232" s="13">
        <v>67</v>
      </c>
      <c r="C232" s="13">
        <v>63</v>
      </c>
      <c r="D232" s="13">
        <v>70</v>
      </c>
      <c r="E232" s="15">
        <v>67.150000000000006</v>
      </c>
      <c r="F232" s="8" t="s">
        <v>51</v>
      </c>
      <c r="G232" s="9">
        <v>1.92</v>
      </c>
      <c r="H232" s="10">
        <v>45383</v>
      </c>
    </row>
    <row r="233" spans="1:8" ht="12.75" x14ac:dyDescent="0.2">
      <c r="A233" s="12" t="s">
        <v>164</v>
      </c>
      <c r="B233" s="13">
        <v>70</v>
      </c>
      <c r="C233" s="13">
        <v>66</v>
      </c>
      <c r="D233" s="13">
        <v>57</v>
      </c>
      <c r="E233" s="15">
        <v>62.95</v>
      </c>
      <c r="F233" s="8" t="s">
        <v>51</v>
      </c>
      <c r="G233" s="9">
        <v>1.78</v>
      </c>
      <c r="H233" s="10">
        <v>45383</v>
      </c>
    </row>
    <row r="234" spans="1:8" ht="12.75" x14ac:dyDescent="0.2">
      <c r="A234" s="12" t="s">
        <v>242</v>
      </c>
      <c r="B234" s="13">
        <v>52</v>
      </c>
      <c r="C234" s="13">
        <v>55</v>
      </c>
      <c r="D234" s="13">
        <v>50</v>
      </c>
      <c r="E234" s="15">
        <v>52</v>
      </c>
      <c r="F234" s="8" t="s">
        <v>51</v>
      </c>
      <c r="G234" s="9">
        <v>1.97</v>
      </c>
      <c r="H234" s="10">
        <v>45383</v>
      </c>
    </row>
    <row r="235" spans="1:8" ht="12.75" x14ac:dyDescent="0.2">
      <c r="A235" s="12" t="s">
        <v>243</v>
      </c>
      <c r="B235" s="13">
        <v>53</v>
      </c>
      <c r="C235" s="13">
        <v>50</v>
      </c>
      <c r="D235" s="13">
        <v>43</v>
      </c>
      <c r="E235" s="15">
        <v>47.6</v>
      </c>
      <c r="F235" s="8" t="s">
        <v>51</v>
      </c>
      <c r="G235" s="8">
        <v>2.15</v>
      </c>
      <c r="H235" s="14">
        <v>45383</v>
      </c>
    </row>
    <row r="236" spans="1:8" ht="12.75" x14ac:dyDescent="0.2">
      <c r="A236" s="12" t="s">
        <v>244</v>
      </c>
      <c r="B236" s="13">
        <v>64</v>
      </c>
      <c r="C236" s="13">
        <v>71</v>
      </c>
      <c r="D236" s="13">
        <v>60</v>
      </c>
      <c r="E236" s="15">
        <v>64.3</v>
      </c>
      <c r="F236" s="8" t="s">
        <v>51</v>
      </c>
      <c r="G236" s="8">
        <v>1.88</v>
      </c>
      <c r="H236" s="14">
        <v>45383</v>
      </c>
    </row>
    <row r="237" spans="1:8" ht="12.75" x14ac:dyDescent="0.2">
      <c r="A237" s="12" t="s">
        <v>245</v>
      </c>
      <c r="B237" s="13">
        <v>67</v>
      </c>
      <c r="C237" s="13">
        <v>66</v>
      </c>
      <c r="D237" s="13">
        <v>53</v>
      </c>
      <c r="E237" s="15">
        <v>60.4</v>
      </c>
      <c r="F237" s="8" t="s">
        <v>51</v>
      </c>
      <c r="G237" s="8">
        <v>2.052</v>
      </c>
      <c r="H237" s="14">
        <v>45383</v>
      </c>
    </row>
    <row r="238" spans="1:8" ht="12.75" x14ac:dyDescent="0.2">
      <c r="A238" s="12" t="s">
        <v>246</v>
      </c>
      <c r="B238" s="13">
        <v>72</v>
      </c>
      <c r="C238" s="13">
        <v>63</v>
      </c>
      <c r="D238" s="13">
        <v>49</v>
      </c>
      <c r="E238" s="15">
        <v>58.95</v>
      </c>
      <c r="F238" s="8" t="s">
        <v>51</v>
      </c>
      <c r="G238" s="8">
        <v>1.71</v>
      </c>
      <c r="H238" s="14">
        <v>45383</v>
      </c>
    </row>
    <row r="239" spans="1:8" ht="12.75" x14ac:dyDescent="0.2">
      <c r="A239" s="12" t="s">
        <v>247</v>
      </c>
      <c r="B239" s="13">
        <v>84</v>
      </c>
      <c r="C239" s="13">
        <v>83</v>
      </c>
      <c r="D239" s="13">
        <v>83</v>
      </c>
      <c r="E239" s="7">
        <v>83.25</v>
      </c>
      <c r="F239" s="8" t="str">
        <f t="shared" ref="F239:F246" si="5">IF(E239&gt;=70,"PASSED", "---")</f>
        <v>PASSED</v>
      </c>
      <c r="G239" s="9">
        <v>1.89</v>
      </c>
      <c r="H239" s="10">
        <v>45505</v>
      </c>
    </row>
    <row r="240" spans="1:8" ht="15" x14ac:dyDescent="0.25">
      <c r="A240" s="26" t="s">
        <v>248</v>
      </c>
      <c r="B240" s="27">
        <v>89</v>
      </c>
      <c r="C240" s="27">
        <v>80</v>
      </c>
      <c r="D240" s="27">
        <v>84</v>
      </c>
      <c r="E240" s="7">
        <v>84.05</v>
      </c>
      <c r="F240" s="8" t="str">
        <f t="shared" si="5"/>
        <v>PASSED</v>
      </c>
      <c r="G240" s="9">
        <v>1.583</v>
      </c>
      <c r="H240" s="10">
        <v>45505</v>
      </c>
    </row>
    <row r="241" spans="1:8" ht="15" x14ac:dyDescent="0.25">
      <c r="A241" s="26" t="s">
        <v>249</v>
      </c>
      <c r="B241" s="27">
        <v>75</v>
      </c>
      <c r="C241" s="27">
        <v>73</v>
      </c>
      <c r="D241" s="27">
        <v>72</v>
      </c>
      <c r="E241" s="7">
        <v>73.05</v>
      </c>
      <c r="F241" s="8" t="str">
        <f t="shared" si="5"/>
        <v>PASSED</v>
      </c>
      <c r="G241" s="9">
        <v>1.732</v>
      </c>
      <c r="H241" s="10">
        <v>45505</v>
      </c>
    </row>
    <row r="242" spans="1:8" ht="15" x14ac:dyDescent="0.25">
      <c r="A242" s="26" t="s">
        <v>250</v>
      </c>
      <c r="B242" s="27">
        <v>72</v>
      </c>
      <c r="C242" s="27">
        <v>75</v>
      </c>
      <c r="D242" s="27">
        <v>80</v>
      </c>
      <c r="E242" s="7">
        <v>76.5</v>
      </c>
      <c r="F242" s="8" t="str">
        <f t="shared" si="5"/>
        <v>PASSED</v>
      </c>
      <c r="G242" s="9">
        <v>1.82</v>
      </c>
      <c r="H242" s="10">
        <v>45505</v>
      </c>
    </row>
    <row r="243" spans="1:8" ht="15" x14ac:dyDescent="0.25">
      <c r="A243" s="26" t="s">
        <v>251</v>
      </c>
      <c r="B243" s="27">
        <v>84</v>
      </c>
      <c r="C243" s="27">
        <v>81</v>
      </c>
      <c r="D243" s="27">
        <v>89</v>
      </c>
      <c r="E243" s="7">
        <v>85.35</v>
      </c>
      <c r="F243" s="8" t="str">
        <f t="shared" si="5"/>
        <v>PASSED</v>
      </c>
      <c r="G243" s="8">
        <v>1.87</v>
      </c>
      <c r="H243" s="10">
        <v>45505</v>
      </c>
    </row>
    <row r="244" spans="1:8" ht="15" x14ac:dyDescent="0.25">
      <c r="A244" s="26" t="s">
        <v>0</v>
      </c>
      <c r="B244" s="27">
        <v>70</v>
      </c>
      <c r="C244" s="27">
        <v>70</v>
      </c>
      <c r="D244" s="27">
        <v>70</v>
      </c>
      <c r="E244" s="7">
        <v>70</v>
      </c>
      <c r="F244" s="8" t="str">
        <f t="shared" si="5"/>
        <v>PASSED</v>
      </c>
      <c r="G244" s="25">
        <v>2.52</v>
      </c>
      <c r="H244" s="24">
        <v>45505</v>
      </c>
    </row>
    <row r="245" spans="1:8" ht="12.75" x14ac:dyDescent="0.2">
      <c r="A245" s="12" t="s">
        <v>252</v>
      </c>
      <c r="B245" s="13">
        <v>82</v>
      </c>
      <c r="C245" s="13">
        <v>78</v>
      </c>
      <c r="D245" s="13">
        <v>74</v>
      </c>
      <c r="E245" s="7">
        <v>77.2</v>
      </c>
      <c r="F245" s="8" t="str">
        <f t="shared" si="5"/>
        <v>PASSED</v>
      </c>
      <c r="G245" s="8">
        <v>2.31</v>
      </c>
      <c r="H245" s="10">
        <v>45505</v>
      </c>
    </row>
    <row r="246" spans="1:8" ht="12.75" x14ac:dyDescent="0.2">
      <c r="A246" s="12" t="s">
        <v>253</v>
      </c>
      <c r="B246" s="13">
        <v>72</v>
      </c>
      <c r="C246" s="13">
        <v>71</v>
      </c>
      <c r="D246" s="13">
        <v>72</v>
      </c>
      <c r="E246" s="7">
        <v>71.7</v>
      </c>
      <c r="F246" s="8" t="str">
        <f t="shared" si="5"/>
        <v>PASSED</v>
      </c>
      <c r="G246" s="8">
        <v>2.15</v>
      </c>
      <c r="H246" s="10">
        <v>45505</v>
      </c>
    </row>
    <row r="247" spans="1:8" ht="15" x14ac:dyDescent="0.25">
      <c r="A247" s="26" t="s">
        <v>254</v>
      </c>
      <c r="B247" s="27">
        <v>50</v>
      </c>
      <c r="C247" s="27">
        <v>63</v>
      </c>
      <c r="D247" s="27">
        <v>64</v>
      </c>
      <c r="E247" s="15">
        <v>60.2</v>
      </c>
      <c r="F247" s="8" t="s">
        <v>51</v>
      </c>
      <c r="G247" s="22">
        <v>1.68</v>
      </c>
      <c r="H247" s="10">
        <v>45505</v>
      </c>
    </row>
    <row r="248" spans="1:8" ht="15" x14ac:dyDescent="0.25">
      <c r="A248" s="26" t="s">
        <v>255</v>
      </c>
      <c r="B248" s="27">
        <v>71</v>
      </c>
      <c r="C248" s="27">
        <v>71</v>
      </c>
      <c r="D248" s="27">
        <v>63</v>
      </c>
      <c r="E248" s="15">
        <v>67.400000000000006</v>
      </c>
      <c r="F248" s="8" t="s">
        <v>51</v>
      </c>
      <c r="G248" s="9">
        <v>1.81</v>
      </c>
      <c r="H248" s="10">
        <v>45505</v>
      </c>
    </row>
    <row r="249" spans="1:8" ht="15" x14ac:dyDescent="0.25">
      <c r="A249" s="26" t="s">
        <v>256</v>
      </c>
      <c r="B249" s="27">
        <v>57</v>
      </c>
      <c r="C249" s="27">
        <v>64</v>
      </c>
      <c r="D249" s="27">
        <v>48</v>
      </c>
      <c r="E249" s="15">
        <v>55.05</v>
      </c>
      <c r="F249" s="8" t="s">
        <v>51</v>
      </c>
      <c r="G249" s="9">
        <v>2.0960000000000001</v>
      </c>
      <c r="H249" s="10">
        <v>45505</v>
      </c>
    </row>
    <row r="250" spans="1:8" ht="15" x14ac:dyDescent="0.25">
      <c r="A250" s="26" t="s">
        <v>257</v>
      </c>
      <c r="B250" s="27">
        <v>59</v>
      </c>
      <c r="C250" s="27">
        <v>71</v>
      </c>
      <c r="D250" s="27">
        <v>57</v>
      </c>
      <c r="E250" s="15">
        <v>61.7</v>
      </c>
      <c r="F250" s="8" t="s">
        <v>51</v>
      </c>
      <c r="G250" s="9">
        <v>2.36</v>
      </c>
      <c r="H250" s="10">
        <v>45505</v>
      </c>
    </row>
    <row r="251" spans="1:8" ht="12.75" x14ac:dyDescent="0.2">
      <c r="A251" s="12" t="s">
        <v>258</v>
      </c>
      <c r="B251" s="13">
        <v>57</v>
      </c>
      <c r="C251" s="13">
        <v>60</v>
      </c>
      <c r="D251" s="13">
        <v>48</v>
      </c>
      <c r="E251" s="15">
        <v>53.85</v>
      </c>
      <c r="F251" s="8" t="s">
        <v>51</v>
      </c>
      <c r="G251" s="9">
        <v>2.52</v>
      </c>
      <c r="H251" s="10">
        <v>45505</v>
      </c>
    </row>
    <row r="252" spans="1:8" ht="15" x14ac:dyDescent="0.25">
      <c r="A252" s="26" t="s">
        <v>259</v>
      </c>
      <c r="B252" s="13">
        <v>77</v>
      </c>
      <c r="C252" s="13">
        <v>83</v>
      </c>
      <c r="D252" s="13">
        <v>78</v>
      </c>
      <c r="E252" s="7">
        <v>79.25</v>
      </c>
      <c r="F252" s="8" t="str">
        <f t="shared" ref="F252:F288" si="6">IF(E252&gt;=70,"PASSED", "---")</f>
        <v>PASSED</v>
      </c>
      <c r="G252" s="22">
        <v>1.8485</v>
      </c>
      <c r="H252" s="24">
        <v>45748</v>
      </c>
    </row>
    <row r="253" spans="1:8" ht="15" x14ac:dyDescent="0.25">
      <c r="A253" s="12" t="s">
        <v>260</v>
      </c>
      <c r="B253" s="13">
        <v>71</v>
      </c>
      <c r="C253" s="13">
        <v>79</v>
      </c>
      <c r="D253" s="13">
        <v>80</v>
      </c>
      <c r="E253" s="7">
        <v>77.45</v>
      </c>
      <c r="F253" s="8" t="str">
        <f t="shared" si="6"/>
        <v>PASSED</v>
      </c>
      <c r="G253" s="22">
        <v>2.0045000000000002</v>
      </c>
      <c r="H253" s="14">
        <v>45748</v>
      </c>
    </row>
    <row r="254" spans="1:8" ht="15" x14ac:dyDescent="0.25">
      <c r="A254" s="12" t="s">
        <v>261</v>
      </c>
      <c r="B254" s="13">
        <v>60</v>
      </c>
      <c r="C254" s="13">
        <v>80</v>
      </c>
      <c r="D254" s="13">
        <v>72</v>
      </c>
      <c r="E254" s="7">
        <v>71.400000000000006</v>
      </c>
      <c r="F254" s="8" t="str">
        <f t="shared" si="6"/>
        <v>PASSED</v>
      </c>
      <c r="G254" s="22">
        <v>2.0118</v>
      </c>
      <c r="H254" s="10">
        <v>45748</v>
      </c>
    </row>
    <row r="255" spans="1:8" ht="15" x14ac:dyDescent="0.25">
      <c r="A255" s="12" t="s">
        <v>262</v>
      </c>
      <c r="B255" s="13">
        <v>86</v>
      </c>
      <c r="C255" s="13">
        <v>89</v>
      </c>
      <c r="D255" s="13">
        <v>88</v>
      </c>
      <c r="E255" s="7">
        <v>87.8</v>
      </c>
      <c r="F255" s="8" t="str">
        <f t="shared" si="6"/>
        <v>PASSED</v>
      </c>
      <c r="G255" s="22">
        <v>1.5118</v>
      </c>
      <c r="H255" s="10">
        <v>45748</v>
      </c>
    </row>
    <row r="256" spans="1:8" ht="15" x14ac:dyDescent="0.25">
      <c r="A256" s="12" t="s">
        <v>263</v>
      </c>
      <c r="B256" s="13">
        <v>78</v>
      </c>
      <c r="C256" s="13">
        <v>75</v>
      </c>
      <c r="D256" s="13">
        <v>78</v>
      </c>
      <c r="E256" s="7">
        <v>77.099999999999994</v>
      </c>
      <c r="F256" s="8" t="str">
        <f t="shared" si="6"/>
        <v>PASSED</v>
      </c>
      <c r="G256" s="22">
        <v>2.1735000000000002</v>
      </c>
      <c r="H256" s="10">
        <v>45748</v>
      </c>
    </row>
    <row r="257" spans="1:8" ht="15" x14ac:dyDescent="0.25">
      <c r="A257" s="12" t="s">
        <v>264</v>
      </c>
      <c r="B257" s="13">
        <v>75</v>
      </c>
      <c r="C257" s="13">
        <v>83</v>
      </c>
      <c r="D257" s="13">
        <v>82</v>
      </c>
      <c r="E257" s="7">
        <v>80.55</v>
      </c>
      <c r="F257" s="8" t="str">
        <f t="shared" si="6"/>
        <v>PASSED</v>
      </c>
      <c r="G257" s="22">
        <v>2.8052999999999999</v>
      </c>
      <c r="H257" s="10">
        <v>45748</v>
      </c>
    </row>
    <row r="258" spans="1:8" ht="15" x14ac:dyDescent="0.25">
      <c r="A258" s="12" t="s">
        <v>265</v>
      </c>
      <c r="B258" s="13">
        <v>63</v>
      </c>
      <c r="C258" s="13">
        <v>78</v>
      </c>
      <c r="D258" s="13">
        <v>78</v>
      </c>
      <c r="E258" s="7">
        <v>74.25</v>
      </c>
      <c r="F258" s="8" t="str">
        <f t="shared" si="6"/>
        <v>PASSED</v>
      </c>
      <c r="G258" s="22">
        <v>2.15</v>
      </c>
      <c r="H258" s="10">
        <v>45748</v>
      </c>
    </row>
    <row r="259" spans="1:8" ht="15" x14ac:dyDescent="0.25">
      <c r="A259" s="12" t="s">
        <v>266</v>
      </c>
      <c r="B259" s="13">
        <v>75</v>
      </c>
      <c r="C259" s="13">
        <v>87</v>
      </c>
      <c r="D259" s="13">
        <v>84</v>
      </c>
      <c r="E259" s="7">
        <v>82.65</v>
      </c>
      <c r="F259" s="8" t="str">
        <f t="shared" si="6"/>
        <v>PASSED</v>
      </c>
      <c r="G259" s="22">
        <v>1.73</v>
      </c>
      <c r="H259" s="10">
        <v>45748</v>
      </c>
    </row>
    <row r="260" spans="1:8" ht="15" x14ac:dyDescent="0.25">
      <c r="A260" s="12" t="s">
        <v>267</v>
      </c>
      <c r="B260" s="13">
        <v>74</v>
      </c>
      <c r="C260" s="13">
        <v>79</v>
      </c>
      <c r="D260" s="13">
        <v>72</v>
      </c>
      <c r="E260" s="7">
        <v>74.599999999999994</v>
      </c>
      <c r="F260" s="8" t="str">
        <f t="shared" si="6"/>
        <v>PASSED</v>
      </c>
      <c r="G260" s="22">
        <v>1.95</v>
      </c>
      <c r="H260" s="10">
        <v>45748</v>
      </c>
    </row>
    <row r="261" spans="1:8" ht="15" x14ac:dyDescent="0.25">
      <c r="A261" s="12" t="s">
        <v>268</v>
      </c>
      <c r="B261" s="13">
        <v>84</v>
      </c>
      <c r="C261" s="13">
        <v>92</v>
      </c>
      <c r="D261" s="13">
        <v>89</v>
      </c>
      <c r="E261" s="7">
        <v>88.65</v>
      </c>
      <c r="F261" s="8" t="str">
        <f t="shared" si="6"/>
        <v>PASSED</v>
      </c>
      <c r="G261" s="22">
        <v>1.4044099999999999</v>
      </c>
      <c r="H261" s="10">
        <v>45748</v>
      </c>
    </row>
    <row r="262" spans="1:8" ht="15" x14ac:dyDescent="0.25">
      <c r="A262" s="12" t="s">
        <v>269</v>
      </c>
      <c r="B262" s="13">
        <v>70</v>
      </c>
      <c r="C262" s="13">
        <v>70</v>
      </c>
      <c r="D262" s="13">
        <v>70</v>
      </c>
      <c r="E262" s="7">
        <v>70</v>
      </c>
      <c r="F262" s="8" t="str">
        <f t="shared" si="6"/>
        <v>PASSED</v>
      </c>
      <c r="G262" s="22">
        <v>1.95</v>
      </c>
      <c r="H262" s="10">
        <v>45748</v>
      </c>
    </row>
    <row r="263" spans="1:8" ht="15" x14ac:dyDescent="0.25">
      <c r="A263" s="12" t="s">
        <v>270</v>
      </c>
      <c r="B263" s="13">
        <v>75</v>
      </c>
      <c r="C263" s="13">
        <v>79</v>
      </c>
      <c r="D263" s="13">
        <v>80</v>
      </c>
      <c r="E263" s="7">
        <v>78.45</v>
      </c>
      <c r="F263" s="8" t="str">
        <f t="shared" si="6"/>
        <v>PASSED</v>
      </c>
      <c r="G263" s="22">
        <v>1.7496</v>
      </c>
      <c r="H263" s="10">
        <v>45748</v>
      </c>
    </row>
    <row r="264" spans="1:8" ht="15" x14ac:dyDescent="0.25">
      <c r="A264" s="12" t="s">
        <v>271</v>
      </c>
      <c r="B264" s="13">
        <v>89</v>
      </c>
      <c r="C264" s="13">
        <v>92</v>
      </c>
      <c r="D264" s="13">
        <v>93</v>
      </c>
      <c r="E264" s="7">
        <v>91.7</v>
      </c>
      <c r="F264" s="8" t="str">
        <f t="shared" si="6"/>
        <v>PASSED</v>
      </c>
      <c r="G264" s="22">
        <v>1.4867999999999999</v>
      </c>
      <c r="H264" s="10">
        <v>45748</v>
      </c>
    </row>
    <row r="265" spans="1:8" ht="15" x14ac:dyDescent="0.25">
      <c r="A265" s="12" t="s">
        <v>272</v>
      </c>
      <c r="B265" s="13">
        <v>80</v>
      </c>
      <c r="C265" s="13">
        <v>86</v>
      </c>
      <c r="D265" s="13">
        <v>77</v>
      </c>
      <c r="E265" s="7">
        <v>80.45</v>
      </c>
      <c r="F265" s="8" t="str">
        <f t="shared" si="6"/>
        <v>PASSED</v>
      </c>
      <c r="G265" s="22">
        <v>1.7241</v>
      </c>
      <c r="H265" s="14">
        <v>45748</v>
      </c>
    </row>
    <row r="266" spans="1:8" ht="15" x14ac:dyDescent="0.25">
      <c r="A266" s="12" t="s">
        <v>273</v>
      </c>
      <c r="B266" s="13">
        <v>70</v>
      </c>
      <c r="C266" s="13">
        <v>70</v>
      </c>
      <c r="D266" s="13">
        <v>70</v>
      </c>
      <c r="E266" s="7">
        <v>70</v>
      </c>
      <c r="F266" s="8" t="str">
        <f t="shared" si="6"/>
        <v>PASSED</v>
      </c>
      <c r="G266" s="22">
        <v>1.7083299999999999</v>
      </c>
      <c r="H266" s="10">
        <v>45748</v>
      </c>
    </row>
    <row r="267" spans="1:8" ht="15" x14ac:dyDescent="0.25">
      <c r="A267" s="12" t="s">
        <v>274</v>
      </c>
      <c r="B267" s="13">
        <v>73</v>
      </c>
      <c r="C267" s="13">
        <v>80</v>
      </c>
      <c r="D267" s="13">
        <v>73</v>
      </c>
      <c r="E267" s="7">
        <v>75.099999999999994</v>
      </c>
      <c r="F267" s="8" t="str">
        <f t="shared" si="6"/>
        <v>PASSED</v>
      </c>
      <c r="G267" s="22">
        <v>1.8</v>
      </c>
      <c r="H267" s="10">
        <v>45748</v>
      </c>
    </row>
    <row r="268" spans="1:8" ht="15" x14ac:dyDescent="0.25">
      <c r="A268" s="12" t="s">
        <v>275</v>
      </c>
      <c r="B268" s="13">
        <v>70</v>
      </c>
      <c r="C268" s="13">
        <v>70</v>
      </c>
      <c r="D268" s="13">
        <v>70</v>
      </c>
      <c r="E268" s="7">
        <v>70</v>
      </c>
      <c r="F268" s="8" t="str">
        <f t="shared" si="6"/>
        <v>PASSED</v>
      </c>
      <c r="G268" s="22">
        <v>2.0868000000000002</v>
      </c>
      <c r="H268" s="10">
        <v>45748</v>
      </c>
    </row>
    <row r="269" spans="1:8" ht="12.75" x14ac:dyDescent="0.2">
      <c r="A269" s="12" t="s">
        <v>276</v>
      </c>
      <c r="B269" s="13">
        <v>76</v>
      </c>
      <c r="C269" s="13">
        <v>80</v>
      </c>
      <c r="D269" s="13">
        <v>83</v>
      </c>
      <c r="E269" s="7">
        <v>80.349999999999994</v>
      </c>
      <c r="F269" s="8" t="str">
        <f t="shared" si="6"/>
        <v>PASSED</v>
      </c>
      <c r="G269" s="9">
        <v>1.573</v>
      </c>
      <c r="H269" s="10">
        <v>45748</v>
      </c>
    </row>
    <row r="270" spans="1:8" ht="15" x14ac:dyDescent="0.25">
      <c r="A270" s="12" t="s">
        <v>277</v>
      </c>
      <c r="B270" s="13">
        <v>79</v>
      </c>
      <c r="C270" s="13">
        <v>81</v>
      </c>
      <c r="D270" s="13">
        <v>71</v>
      </c>
      <c r="E270" s="7">
        <v>76</v>
      </c>
      <c r="F270" s="8" t="str">
        <f t="shared" si="6"/>
        <v>PASSED</v>
      </c>
      <c r="G270" s="22">
        <v>1.5456000000000001</v>
      </c>
      <c r="H270" s="10">
        <v>45748</v>
      </c>
    </row>
    <row r="271" spans="1:8" ht="15" x14ac:dyDescent="0.25">
      <c r="A271" s="12" t="s">
        <v>278</v>
      </c>
      <c r="B271" s="13">
        <v>81</v>
      </c>
      <c r="C271" s="13">
        <v>89</v>
      </c>
      <c r="D271" s="13">
        <v>86</v>
      </c>
      <c r="E271" s="7">
        <v>85.65</v>
      </c>
      <c r="F271" s="8" t="str">
        <f t="shared" si="6"/>
        <v>PASSED</v>
      </c>
      <c r="G271" s="22">
        <v>1.9260999999999999</v>
      </c>
      <c r="H271" s="10">
        <v>45748</v>
      </c>
    </row>
    <row r="272" spans="1:8" ht="15" x14ac:dyDescent="0.25">
      <c r="A272" s="12" t="s">
        <v>279</v>
      </c>
      <c r="B272" s="13">
        <v>83</v>
      </c>
      <c r="C272" s="13">
        <v>83</v>
      </c>
      <c r="D272" s="13">
        <v>91</v>
      </c>
      <c r="E272" s="7">
        <v>86.6</v>
      </c>
      <c r="F272" s="8" t="str">
        <f t="shared" si="6"/>
        <v>PASSED</v>
      </c>
      <c r="G272" s="22">
        <v>1.5662</v>
      </c>
      <c r="H272" s="10">
        <v>45748</v>
      </c>
    </row>
    <row r="273" spans="1:8" ht="15" x14ac:dyDescent="0.25">
      <c r="A273" s="12" t="s">
        <v>280</v>
      </c>
      <c r="B273" s="13">
        <v>79</v>
      </c>
      <c r="C273" s="13">
        <v>87</v>
      </c>
      <c r="D273" s="13">
        <v>90</v>
      </c>
      <c r="E273" s="7">
        <v>86.35</v>
      </c>
      <c r="F273" s="8" t="str">
        <f t="shared" si="6"/>
        <v>PASSED</v>
      </c>
      <c r="G273" s="22">
        <v>1.59</v>
      </c>
      <c r="H273" s="14">
        <v>45748</v>
      </c>
    </row>
    <row r="274" spans="1:8" ht="15" x14ac:dyDescent="0.25">
      <c r="A274" s="12" t="s">
        <v>281</v>
      </c>
      <c r="B274" s="13">
        <v>69</v>
      </c>
      <c r="C274" s="13">
        <v>77</v>
      </c>
      <c r="D274" s="13">
        <v>80</v>
      </c>
      <c r="E274" s="7">
        <v>76.349999999999994</v>
      </c>
      <c r="F274" s="8" t="str">
        <f t="shared" si="6"/>
        <v>PASSED</v>
      </c>
      <c r="G274" s="25">
        <v>2.0289000000000001</v>
      </c>
      <c r="H274" s="14">
        <v>45748</v>
      </c>
    </row>
    <row r="275" spans="1:8" ht="15" x14ac:dyDescent="0.25">
      <c r="A275" s="12" t="s">
        <v>282</v>
      </c>
      <c r="B275" s="13">
        <v>79</v>
      </c>
      <c r="C275" s="13">
        <v>80</v>
      </c>
      <c r="D275" s="13">
        <v>78</v>
      </c>
      <c r="E275" s="7">
        <v>78.849999999999994</v>
      </c>
      <c r="F275" s="8" t="str">
        <f t="shared" si="6"/>
        <v>PASSED</v>
      </c>
      <c r="G275" s="25">
        <v>1.62</v>
      </c>
      <c r="H275" s="14">
        <v>45748</v>
      </c>
    </row>
    <row r="276" spans="1:8" ht="15" x14ac:dyDescent="0.25">
      <c r="A276" s="12" t="s">
        <v>283</v>
      </c>
      <c r="B276" s="13">
        <v>80</v>
      </c>
      <c r="C276" s="13">
        <v>87</v>
      </c>
      <c r="D276" s="13">
        <v>89</v>
      </c>
      <c r="E276" s="7">
        <v>86.15</v>
      </c>
      <c r="F276" s="8" t="str">
        <f t="shared" si="6"/>
        <v>PASSED</v>
      </c>
      <c r="G276" s="25">
        <v>1.94</v>
      </c>
      <c r="H276" s="14">
        <v>45748</v>
      </c>
    </row>
    <row r="277" spans="1:8" ht="15" x14ac:dyDescent="0.25">
      <c r="A277" s="12" t="s">
        <v>284</v>
      </c>
      <c r="B277" s="13">
        <v>82</v>
      </c>
      <c r="C277" s="13">
        <v>88</v>
      </c>
      <c r="D277" s="13">
        <v>83</v>
      </c>
      <c r="E277" s="7">
        <v>84.25</v>
      </c>
      <c r="F277" s="8" t="str">
        <f t="shared" si="6"/>
        <v>PASSED</v>
      </c>
      <c r="G277" s="25">
        <v>1.54</v>
      </c>
      <c r="H277" s="14">
        <v>45748</v>
      </c>
    </row>
    <row r="278" spans="1:8" ht="15" x14ac:dyDescent="0.25">
      <c r="A278" s="12" t="s">
        <v>285</v>
      </c>
      <c r="B278" s="13">
        <v>74</v>
      </c>
      <c r="C278" s="13">
        <v>80</v>
      </c>
      <c r="D278" s="13">
        <v>77</v>
      </c>
      <c r="E278" s="7">
        <v>77.150000000000006</v>
      </c>
      <c r="F278" s="8" t="str">
        <f t="shared" si="6"/>
        <v>PASSED</v>
      </c>
      <c r="G278" s="25">
        <v>2.0335000000000001</v>
      </c>
      <c r="H278" s="14">
        <v>45748</v>
      </c>
    </row>
    <row r="279" spans="1:8" ht="15" x14ac:dyDescent="0.25">
      <c r="A279" s="12" t="s">
        <v>286</v>
      </c>
      <c r="B279" s="13">
        <v>77</v>
      </c>
      <c r="C279" s="13">
        <v>84</v>
      </c>
      <c r="D279" s="13">
        <v>81</v>
      </c>
      <c r="E279" s="7">
        <v>80.900000000000006</v>
      </c>
      <c r="F279" s="8" t="str">
        <f t="shared" si="6"/>
        <v>PASSED</v>
      </c>
      <c r="G279" s="25">
        <v>1.7869999999999999</v>
      </c>
      <c r="H279" s="14">
        <v>45748</v>
      </c>
    </row>
    <row r="280" spans="1:8" ht="15" x14ac:dyDescent="0.25">
      <c r="A280" s="12" t="s">
        <v>287</v>
      </c>
      <c r="B280" s="13">
        <v>67</v>
      </c>
      <c r="C280" s="13">
        <v>76</v>
      </c>
      <c r="D280" s="13">
        <v>74</v>
      </c>
      <c r="E280" s="7">
        <v>72.849999999999994</v>
      </c>
      <c r="F280" s="8" t="str">
        <f t="shared" si="6"/>
        <v>PASSED</v>
      </c>
      <c r="G280" s="25">
        <v>2.1212</v>
      </c>
      <c r="H280" s="14">
        <v>45748</v>
      </c>
    </row>
    <row r="281" spans="1:8" ht="15" x14ac:dyDescent="0.25">
      <c r="A281" s="12" t="s">
        <v>288</v>
      </c>
      <c r="B281" s="13">
        <v>74</v>
      </c>
      <c r="C281" s="13">
        <v>77</v>
      </c>
      <c r="D281" s="13">
        <v>73</v>
      </c>
      <c r="E281" s="7">
        <v>74.45</v>
      </c>
      <c r="F281" s="8" t="str">
        <f t="shared" si="6"/>
        <v>PASSED</v>
      </c>
      <c r="G281" s="22">
        <v>2.0274390000000002</v>
      </c>
      <c r="H281" s="10">
        <v>45748</v>
      </c>
    </row>
    <row r="282" spans="1:8" ht="15" x14ac:dyDescent="0.25">
      <c r="A282" s="12" t="s">
        <v>289</v>
      </c>
      <c r="B282" s="13">
        <v>82</v>
      </c>
      <c r="C282" s="13">
        <v>89</v>
      </c>
      <c r="D282" s="13">
        <v>88</v>
      </c>
      <c r="E282" s="7">
        <v>86.8</v>
      </c>
      <c r="F282" s="8" t="str">
        <f t="shared" si="6"/>
        <v>PASSED</v>
      </c>
      <c r="G282" s="22">
        <v>1.6368</v>
      </c>
      <c r="H282" s="10">
        <v>45748</v>
      </c>
    </row>
    <row r="283" spans="1:8" ht="15" x14ac:dyDescent="0.25">
      <c r="A283" s="12" t="s">
        <v>290</v>
      </c>
      <c r="B283" s="13">
        <v>77</v>
      </c>
      <c r="C283" s="13">
        <v>77</v>
      </c>
      <c r="D283" s="13">
        <v>81</v>
      </c>
      <c r="E283" s="7">
        <v>78.8</v>
      </c>
      <c r="F283" s="8" t="str">
        <f t="shared" si="6"/>
        <v>PASSED</v>
      </c>
      <c r="G283" s="22">
        <v>1.8282</v>
      </c>
      <c r="H283" s="10">
        <v>45748</v>
      </c>
    </row>
    <row r="284" spans="1:8" ht="15" x14ac:dyDescent="0.25">
      <c r="A284" s="12" t="s">
        <v>291</v>
      </c>
      <c r="B284" s="13">
        <v>80</v>
      </c>
      <c r="C284" s="13">
        <v>84</v>
      </c>
      <c r="D284" s="13">
        <v>86</v>
      </c>
      <c r="E284" s="7">
        <v>83.9</v>
      </c>
      <c r="F284" s="8" t="str">
        <f t="shared" si="6"/>
        <v>PASSED</v>
      </c>
      <c r="G284" s="22">
        <v>1.8765000000000001</v>
      </c>
      <c r="H284" s="10">
        <v>45748</v>
      </c>
    </row>
    <row r="285" spans="1:8" ht="12.75" x14ac:dyDescent="0.2">
      <c r="A285" s="12" t="s">
        <v>292</v>
      </c>
      <c r="B285" s="13">
        <v>72</v>
      </c>
      <c r="C285" s="13">
        <v>75</v>
      </c>
      <c r="D285" s="13">
        <v>72</v>
      </c>
      <c r="E285" s="7">
        <v>72.900000000000006</v>
      </c>
      <c r="F285" s="8" t="str">
        <f t="shared" si="6"/>
        <v>PASSED</v>
      </c>
      <c r="G285" s="9">
        <v>2.0099999999999998</v>
      </c>
      <c r="H285" s="14">
        <v>45748</v>
      </c>
    </row>
    <row r="286" spans="1:8" ht="15" x14ac:dyDescent="0.25">
      <c r="A286" s="12" t="s">
        <v>293</v>
      </c>
      <c r="B286" s="13">
        <v>70</v>
      </c>
      <c r="C286" s="13">
        <v>70</v>
      </c>
      <c r="D286" s="13">
        <v>70</v>
      </c>
      <c r="E286" s="7">
        <v>70</v>
      </c>
      <c r="F286" s="8" t="str">
        <f t="shared" si="6"/>
        <v>PASSED</v>
      </c>
      <c r="G286" s="22">
        <v>1.9484999999999999</v>
      </c>
      <c r="H286" s="10">
        <v>45748</v>
      </c>
    </row>
    <row r="287" spans="1:8" ht="15" x14ac:dyDescent="0.25">
      <c r="A287" s="12" t="s">
        <v>294</v>
      </c>
      <c r="B287" s="13">
        <v>77</v>
      </c>
      <c r="C287" s="13">
        <v>84</v>
      </c>
      <c r="D287" s="13">
        <v>80</v>
      </c>
      <c r="E287" s="7">
        <v>80.45</v>
      </c>
      <c r="F287" s="8" t="str">
        <f t="shared" si="6"/>
        <v>PASSED</v>
      </c>
      <c r="G287" s="22">
        <v>1.78</v>
      </c>
      <c r="H287" s="10">
        <v>45748</v>
      </c>
    </row>
    <row r="288" spans="1:8" ht="15" x14ac:dyDescent="0.25">
      <c r="A288" s="12" t="s">
        <v>295</v>
      </c>
      <c r="B288" s="13">
        <v>75</v>
      </c>
      <c r="C288" s="13">
        <v>83</v>
      </c>
      <c r="D288" s="13">
        <v>82</v>
      </c>
      <c r="E288" s="7">
        <v>80.55</v>
      </c>
      <c r="F288" s="8" t="str">
        <f t="shared" si="6"/>
        <v>PASSED</v>
      </c>
      <c r="G288" s="22">
        <v>1.8769</v>
      </c>
      <c r="H288" s="10">
        <v>45748</v>
      </c>
    </row>
    <row r="289" spans="1:8" ht="12.75" x14ac:dyDescent="0.2">
      <c r="A289" s="12" t="s">
        <v>296</v>
      </c>
      <c r="B289" s="13">
        <v>48</v>
      </c>
      <c r="C289" s="13">
        <v>79</v>
      </c>
      <c r="D289" s="13">
        <v>52</v>
      </c>
      <c r="E289" s="15">
        <v>59.1</v>
      </c>
      <c r="F289" s="8" t="s">
        <v>51</v>
      </c>
      <c r="G289" s="9">
        <v>1.802</v>
      </c>
      <c r="H289" s="10">
        <v>45748</v>
      </c>
    </row>
    <row r="290" spans="1:8" ht="15" x14ac:dyDescent="0.25">
      <c r="A290" s="12" t="s">
        <v>297</v>
      </c>
      <c r="B290" s="13">
        <v>53</v>
      </c>
      <c r="C290" s="13">
        <v>63</v>
      </c>
      <c r="D290" s="13">
        <v>45</v>
      </c>
      <c r="E290" s="15">
        <v>52.4</v>
      </c>
      <c r="F290" s="8" t="s">
        <v>51</v>
      </c>
      <c r="G290" s="22">
        <v>2.0747</v>
      </c>
      <c r="H290" s="10">
        <v>45748</v>
      </c>
    </row>
    <row r="291" spans="1:8" ht="15" x14ac:dyDescent="0.25">
      <c r="A291" s="12" t="s">
        <v>298</v>
      </c>
      <c r="B291" s="13">
        <v>57</v>
      </c>
      <c r="C291" s="13">
        <v>70</v>
      </c>
      <c r="D291" s="13">
        <v>60</v>
      </c>
      <c r="E291" s="15">
        <v>62.25</v>
      </c>
      <c r="F291" s="8" t="s">
        <v>51</v>
      </c>
      <c r="G291" s="22">
        <v>2.0853000000000002</v>
      </c>
      <c r="H291" s="10">
        <v>45748</v>
      </c>
    </row>
    <row r="292" spans="1:8" ht="15" x14ac:dyDescent="0.25">
      <c r="A292" s="12" t="s">
        <v>299</v>
      </c>
      <c r="B292" s="13">
        <v>56</v>
      </c>
      <c r="C292" s="13">
        <v>75</v>
      </c>
      <c r="D292" s="13">
        <v>57</v>
      </c>
      <c r="E292" s="15">
        <v>62.15</v>
      </c>
      <c r="F292" s="8" t="s">
        <v>51</v>
      </c>
      <c r="G292" s="22">
        <v>2.0137999999999998</v>
      </c>
      <c r="H292" s="10">
        <v>45748</v>
      </c>
    </row>
    <row r="293" spans="1:8" ht="15" x14ac:dyDescent="0.25">
      <c r="A293" s="12" t="s">
        <v>300</v>
      </c>
      <c r="B293" s="13">
        <v>41</v>
      </c>
      <c r="C293" s="13">
        <v>67</v>
      </c>
      <c r="D293" s="13">
        <v>60</v>
      </c>
      <c r="E293" s="15">
        <v>57.35</v>
      </c>
      <c r="F293" s="8" t="s">
        <v>51</v>
      </c>
      <c r="G293" s="22">
        <v>2.2214999999999998</v>
      </c>
      <c r="H293" s="10">
        <v>45748</v>
      </c>
    </row>
    <row r="294" spans="1:8" ht="15" x14ac:dyDescent="0.25">
      <c r="A294" s="12" t="s">
        <v>301</v>
      </c>
      <c r="B294" s="13">
        <v>60</v>
      </c>
      <c r="C294" s="13">
        <v>71</v>
      </c>
      <c r="D294" s="13">
        <v>69</v>
      </c>
      <c r="E294" s="15">
        <v>67.349999999999994</v>
      </c>
      <c r="F294" s="8" t="s">
        <v>51</v>
      </c>
      <c r="G294" s="22">
        <v>2.0099999999999998</v>
      </c>
      <c r="H294" s="10">
        <v>45748</v>
      </c>
    </row>
    <row r="295" spans="1:8" ht="12.75" x14ac:dyDescent="0.2">
      <c r="A295" s="12" t="s">
        <v>302</v>
      </c>
      <c r="B295" s="13">
        <v>38</v>
      </c>
      <c r="C295" s="13">
        <v>48</v>
      </c>
      <c r="D295" s="13">
        <v>49</v>
      </c>
      <c r="E295" s="15">
        <v>45.95</v>
      </c>
      <c r="F295" s="8" t="s">
        <v>51</v>
      </c>
      <c r="G295" s="9">
        <v>1.5349999999999999</v>
      </c>
      <c r="H295" s="10">
        <v>45748</v>
      </c>
    </row>
    <row r="296" spans="1:8" ht="15" x14ac:dyDescent="0.25">
      <c r="A296" s="12" t="s">
        <v>2</v>
      </c>
      <c r="B296" s="13">
        <v>42</v>
      </c>
      <c r="C296" s="13">
        <v>69</v>
      </c>
      <c r="D296" s="13">
        <v>60</v>
      </c>
      <c r="E296" s="15">
        <v>58.2</v>
      </c>
      <c r="F296" s="8" t="s">
        <v>51</v>
      </c>
      <c r="G296" s="22">
        <v>2.2658</v>
      </c>
      <c r="H296" s="24">
        <v>45748</v>
      </c>
    </row>
    <row r="297" spans="1:8" ht="15" x14ac:dyDescent="0.25">
      <c r="A297" s="12" t="s">
        <v>303</v>
      </c>
      <c r="B297" s="13">
        <v>49</v>
      </c>
      <c r="C297" s="13">
        <v>64</v>
      </c>
      <c r="D297" s="13">
        <v>43</v>
      </c>
      <c r="E297" s="15">
        <v>50.8</v>
      </c>
      <c r="F297" s="8" t="s">
        <v>51</v>
      </c>
      <c r="G297" s="25">
        <v>2.1120999999999999</v>
      </c>
      <c r="H297" s="14">
        <v>45748</v>
      </c>
    </row>
    <row r="298" spans="1:8" ht="12.75" x14ac:dyDescent="0.2">
      <c r="A298" s="12" t="s">
        <v>304</v>
      </c>
      <c r="B298" s="13">
        <v>71</v>
      </c>
      <c r="C298" s="13">
        <v>77</v>
      </c>
      <c r="D298" s="13">
        <v>60</v>
      </c>
      <c r="E298" s="15">
        <v>67.849999999999994</v>
      </c>
      <c r="F298" s="8" t="s">
        <v>51</v>
      </c>
      <c r="G298" s="8">
        <v>1.982</v>
      </c>
      <c r="H298" s="14">
        <v>45748</v>
      </c>
    </row>
    <row r="299" spans="1:8" ht="12.75" x14ac:dyDescent="0.2">
      <c r="A299" s="8" t="s">
        <v>305</v>
      </c>
      <c r="B299" s="13">
        <v>69</v>
      </c>
      <c r="C299" s="13">
        <v>63</v>
      </c>
      <c r="D299" s="13">
        <v>62</v>
      </c>
      <c r="E299" s="15">
        <v>64.05</v>
      </c>
      <c r="F299" s="8" t="s">
        <v>51</v>
      </c>
      <c r="G299" s="8">
        <v>2.2050000000000001</v>
      </c>
      <c r="H299" s="14">
        <v>45748</v>
      </c>
    </row>
    <row r="300" spans="1:8" ht="15" x14ac:dyDescent="0.25">
      <c r="A300" s="12" t="s">
        <v>306</v>
      </c>
      <c r="B300" s="13">
        <v>43</v>
      </c>
      <c r="C300" s="13">
        <v>50</v>
      </c>
      <c r="D300" s="13">
        <v>46</v>
      </c>
      <c r="E300" s="15">
        <v>46.45</v>
      </c>
      <c r="F300" s="8" t="s">
        <v>51</v>
      </c>
      <c r="G300" s="25">
        <v>2.1859000000000002</v>
      </c>
      <c r="H300" s="14">
        <v>45748</v>
      </c>
    </row>
    <row r="301" spans="1:8" ht="15" x14ac:dyDescent="0.25">
      <c r="A301" s="12" t="s">
        <v>307</v>
      </c>
      <c r="B301" s="13">
        <v>59</v>
      </c>
      <c r="C301" s="13">
        <v>62</v>
      </c>
      <c r="D301" s="13">
        <v>36</v>
      </c>
      <c r="E301" s="15">
        <v>49.55</v>
      </c>
      <c r="F301" s="8" t="s">
        <v>51</v>
      </c>
      <c r="G301" s="25">
        <v>2</v>
      </c>
      <c r="H301" s="14">
        <v>45748</v>
      </c>
    </row>
    <row r="302" spans="1:8" ht="15" x14ac:dyDescent="0.25">
      <c r="A302" s="12" t="s">
        <v>308</v>
      </c>
      <c r="B302" s="13">
        <v>59</v>
      </c>
      <c r="C302" s="13">
        <v>64</v>
      </c>
      <c r="D302" s="13">
        <v>50</v>
      </c>
      <c r="E302" s="15">
        <v>56.45</v>
      </c>
      <c r="F302" s="8" t="s">
        <v>51</v>
      </c>
      <c r="G302" s="25">
        <v>1.84</v>
      </c>
      <c r="H302" s="14">
        <v>45748</v>
      </c>
    </row>
    <row r="303" spans="1:8" ht="15" x14ac:dyDescent="0.25">
      <c r="A303" s="12" t="s">
        <v>309</v>
      </c>
      <c r="B303" s="13">
        <v>62</v>
      </c>
      <c r="C303" s="13">
        <v>75</v>
      </c>
      <c r="D303" s="13">
        <v>56</v>
      </c>
      <c r="E303" s="15">
        <v>63.2</v>
      </c>
      <c r="F303" s="8" t="s">
        <v>51</v>
      </c>
      <c r="G303" s="25">
        <v>1.7970999999999999</v>
      </c>
      <c r="H303" s="14">
        <v>45748</v>
      </c>
    </row>
    <row r="304" spans="1:8" ht="15" x14ac:dyDescent="0.25">
      <c r="A304" s="12" t="s">
        <v>310</v>
      </c>
      <c r="B304" s="13">
        <v>56</v>
      </c>
      <c r="C304" s="13">
        <v>64</v>
      </c>
      <c r="D304" s="13">
        <v>52</v>
      </c>
      <c r="E304" s="15">
        <v>56.6</v>
      </c>
      <c r="F304" s="8" t="s">
        <v>51</v>
      </c>
      <c r="G304" s="25">
        <v>2.0200999999999998</v>
      </c>
      <c r="H304" s="14">
        <v>45748</v>
      </c>
    </row>
    <row r="305" spans="1:8" ht="12.75" x14ac:dyDescent="0.2">
      <c r="A305" s="12" t="s">
        <v>311</v>
      </c>
      <c r="B305" s="13">
        <v>63</v>
      </c>
      <c r="C305" s="13">
        <v>75</v>
      </c>
      <c r="D305" s="13">
        <v>55</v>
      </c>
      <c r="E305" s="15">
        <v>63</v>
      </c>
      <c r="F305" s="8" t="s">
        <v>51</v>
      </c>
      <c r="G305" s="8">
        <v>1.96</v>
      </c>
      <c r="H305" s="14">
        <v>45748</v>
      </c>
    </row>
    <row r="306" spans="1:8" ht="15" x14ac:dyDescent="0.25">
      <c r="A306" s="12" t="s">
        <v>312</v>
      </c>
      <c r="B306" s="13">
        <v>57</v>
      </c>
      <c r="C306" s="13">
        <v>67</v>
      </c>
      <c r="D306" s="13">
        <v>53</v>
      </c>
      <c r="E306" s="15">
        <v>58.2</v>
      </c>
      <c r="F306" s="8" t="s">
        <v>51</v>
      </c>
      <c r="G306" s="25">
        <v>1.77</v>
      </c>
      <c r="H306" s="14">
        <v>45748</v>
      </c>
    </row>
    <row r="307" spans="1:8" ht="15" x14ac:dyDescent="0.25">
      <c r="A307" s="12" t="s">
        <v>313</v>
      </c>
      <c r="B307" s="13">
        <v>72</v>
      </c>
      <c r="C307" s="13">
        <v>70</v>
      </c>
      <c r="D307" s="13">
        <v>39</v>
      </c>
      <c r="E307" s="15">
        <v>56.55</v>
      </c>
      <c r="F307" s="8" t="s">
        <v>51</v>
      </c>
      <c r="G307" s="22">
        <v>1.8588</v>
      </c>
      <c r="H307" s="10">
        <v>45748</v>
      </c>
    </row>
    <row r="308" spans="1:8" ht="15" x14ac:dyDescent="0.25">
      <c r="A308" s="12" t="s">
        <v>314</v>
      </c>
      <c r="B308" s="13">
        <v>39</v>
      </c>
      <c r="C308" s="13">
        <v>60</v>
      </c>
      <c r="D308" s="13">
        <v>46</v>
      </c>
      <c r="E308" s="15">
        <v>48.45</v>
      </c>
      <c r="F308" s="8" t="s">
        <v>51</v>
      </c>
      <c r="G308" s="22">
        <v>2.1143000000000001</v>
      </c>
      <c r="H308" s="24">
        <v>45748</v>
      </c>
    </row>
    <row r="309" spans="1:8" ht="15" x14ac:dyDescent="0.25">
      <c r="A309" s="12" t="s">
        <v>315</v>
      </c>
      <c r="B309" s="13">
        <v>80</v>
      </c>
      <c r="C309" s="13">
        <v>57</v>
      </c>
      <c r="D309" s="13">
        <v>57</v>
      </c>
      <c r="E309" s="15">
        <v>60.25</v>
      </c>
      <c r="F309" s="8" t="s">
        <v>51</v>
      </c>
      <c r="G309" s="22">
        <v>2.0299999999999998</v>
      </c>
      <c r="H309" s="10">
        <v>45748</v>
      </c>
    </row>
    <row r="310" spans="1:8" ht="15" x14ac:dyDescent="0.25">
      <c r="A310" s="12" t="s">
        <v>3</v>
      </c>
      <c r="B310" s="13">
        <v>57</v>
      </c>
      <c r="C310" s="13">
        <v>69</v>
      </c>
      <c r="D310" s="13">
        <v>55</v>
      </c>
      <c r="E310" s="15">
        <v>59.7</v>
      </c>
      <c r="F310" s="8" t="s">
        <v>51</v>
      </c>
      <c r="G310" s="22">
        <v>2.0720000000000001</v>
      </c>
      <c r="H310" s="24">
        <v>45748</v>
      </c>
    </row>
    <row r="311" spans="1:8" ht="15" x14ac:dyDescent="0.25">
      <c r="A311" s="12" t="s">
        <v>316</v>
      </c>
      <c r="B311" s="13">
        <v>53</v>
      </c>
      <c r="C311" s="13">
        <v>67</v>
      </c>
      <c r="D311" s="13">
        <v>62</v>
      </c>
      <c r="E311" s="15">
        <v>61.25</v>
      </c>
      <c r="F311" s="8" t="s">
        <v>51</v>
      </c>
      <c r="G311" s="22">
        <v>2.2866</v>
      </c>
      <c r="H311" s="10">
        <v>45748</v>
      </c>
    </row>
    <row r="312" spans="1:8" ht="15" x14ac:dyDescent="0.25">
      <c r="A312" s="12" t="s">
        <v>317</v>
      </c>
      <c r="B312" s="13">
        <v>49</v>
      </c>
      <c r="C312" s="13">
        <v>67</v>
      </c>
      <c r="D312" s="13">
        <v>62</v>
      </c>
      <c r="E312" s="15">
        <v>60.25</v>
      </c>
      <c r="F312" s="8" t="s">
        <v>51</v>
      </c>
      <c r="G312" s="22">
        <v>2.3035000000000001</v>
      </c>
      <c r="H312" s="10">
        <v>45748</v>
      </c>
    </row>
    <row r="313" spans="1:8" ht="15" x14ac:dyDescent="0.25">
      <c r="A313" s="12" t="s">
        <v>316</v>
      </c>
      <c r="B313" s="13">
        <v>70</v>
      </c>
      <c r="C313" s="13">
        <v>70</v>
      </c>
      <c r="D313" s="13">
        <v>70</v>
      </c>
      <c r="E313" s="7">
        <v>70</v>
      </c>
      <c r="F313" s="8" t="str">
        <f>IF(E313&gt;=70,"PASSED", "---")</f>
        <v>PASSED</v>
      </c>
      <c r="G313" s="22">
        <v>2.2866</v>
      </c>
      <c r="H313" s="10">
        <v>45870</v>
      </c>
    </row>
    <row r="314" spans="1:8" ht="15" x14ac:dyDescent="0.25">
      <c r="A314" s="12" t="s">
        <v>318</v>
      </c>
      <c r="B314" s="13">
        <v>53</v>
      </c>
      <c r="C314" s="13">
        <v>48</v>
      </c>
      <c r="D314" s="13">
        <v>38</v>
      </c>
      <c r="E314" s="15">
        <v>44.75</v>
      </c>
      <c r="F314" s="8" t="s">
        <v>51</v>
      </c>
      <c r="G314" s="22">
        <v>2.4415</v>
      </c>
      <c r="H314" s="14">
        <v>45870</v>
      </c>
    </row>
    <row r="315" spans="1:8" ht="15" x14ac:dyDescent="0.25">
      <c r="A315" s="26" t="s">
        <v>319</v>
      </c>
      <c r="B315" s="27">
        <v>57</v>
      </c>
      <c r="C315" s="27">
        <v>74</v>
      </c>
      <c r="D315" s="27">
        <v>60</v>
      </c>
      <c r="E315" s="15">
        <v>63.45</v>
      </c>
      <c r="F315" s="8" t="s">
        <v>51</v>
      </c>
      <c r="G315" s="9">
        <v>1.9821</v>
      </c>
      <c r="H315" s="10">
        <v>45870</v>
      </c>
    </row>
    <row r="316" spans="1:8" ht="15" x14ac:dyDescent="0.25">
      <c r="A316" s="26" t="s">
        <v>320</v>
      </c>
      <c r="B316" s="27">
        <v>41</v>
      </c>
      <c r="C316" s="27">
        <v>59</v>
      </c>
      <c r="D316" s="27">
        <v>56</v>
      </c>
      <c r="E316" s="15">
        <v>53.15</v>
      </c>
      <c r="F316" s="8" t="s">
        <v>51</v>
      </c>
      <c r="G316" s="22">
        <v>1.7020999999999999</v>
      </c>
      <c r="H316" s="10">
        <v>45870</v>
      </c>
    </row>
    <row r="317" spans="1:8" ht="15" x14ac:dyDescent="0.25">
      <c r="A317" s="26" t="s">
        <v>321</v>
      </c>
      <c r="B317" s="27">
        <v>49</v>
      </c>
      <c r="C317" s="27">
        <v>71</v>
      </c>
      <c r="D317" s="27">
        <v>57</v>
      </c>
      <c r="E317" s="15">
        <v>59.2</v>
      </c>
      <c r="F317" s="8" t="s">
        <v>51</v>
      </c>
      <c r="G317" s="22">
        <v>2.0137999999999998</v>
      </c>
      <c r="H317" s="10">
        <v>45870</v>
      </c>
    </row>
    <row r="318" spans="1:8" ht="15" x14ac:dyDescent="0.25">
      <c r="A318" s="26" t="s">
        <v>322</v>
      </c>
      <c r="B318" s="27">
        <v>59</v>
      </c>
      <c r="C318" s="27">
        <v>55</v>
      </c>
      <c r="D318" s="27">
        <v>56</v>
      </c>
      <c r="E318" s="15">
        <v>56.45</v>
      </c>
      <c r="F318" s="8" t="s">
        <v>51</v>
      </c>
      <c r="G318" s="22">
        <v>2.2214999999999998</v>
      </c>
      <c r="H318" s="10">
        <v>45870</v>
      </c>
    </row>
    <row r="319" spans="1:8" ht="15" x14ac:dyDescent="0.25">
      <c r="A319" s="26" t="s">
        <v>323</v>
      </c>
      <c r="B319" s="27">
        <v>50</v>
      </c>
      <c r="C319" s="27">
        <v>48</v>
      </c>
      <c r="D319" s="27">
        <v>48</v>
      </c>
      <c r="E319" s="15">
        <v>48.5</v>
      </c>
      <c r="F319" s="8" t="s">
        <v>51</v>
      </c>
      <c r="G319" s="22">
        <v>2.3443000000000001</v>
      </c>
      <c r="H319" s="10">
        <v>45870</v>
      </c>
    </row>
    <row r="320" spans="1:8" ht="15" x14ac:dyDescent="0.25">
      <c r="A320" s="26" t="s">
        <v>301</v>
      </c>
      <c r="B320" s="27">
        <v>59</v>
      </c>
      <c r="C320" s="27">
        <v>59</v>
      </c>
      <c r="D320" s="27">
        <v>64</v>
      </c>
      <c r="E320" s="15">
        <v>61.25</v>
      </c>
      <c r="F320" s="8" t="s">
        <v>51</v>
      </c>
      <c r="G320" s="22">
        <v>2.0099999999999998</v>
      </c>
      <c r="H320" s="10">
        <v>45870</v>
      </c>
    </row>
    <row r="321" spans="1:8" ht="15" x14ac:dyDescent="0.25">
      <c r="A321" s="26" t="s">
        <v>324</v>
      </c>
      <c r="B321" s="27">
        <v>71</v>
      </c>
      <c r="C321" s="27">
        <v>71</v>
      </c>
      <c r="D321" s="27">
        <v>63</v>
      </c>
      <c r="E321" s="15">
        <v>67.400000000000006</v>
      </c>
      <c r="F321" s="8" t="s">
        <v>51</v>
      </c>
      <c r="G321" s="22">
        <v>1.8491</v>
      </c>
      <c r="H321" s="10">
        <v>45870</v>
      </c>
    </row>
    <row r="322" spans="1:8" ht="15" x14ac:dyDescent="0.25">
      <c r="A322" s="26" t="s">
        <v>325</v>
      </c>
      <c r="B322" s="27">
        <v>70</v>
      </c>
      <c r="C322" s="27">
        <v>63</v>
      </c>
      <c r="D322" s="27">
        <v>57</v>
      </c>
      <c r="E322" s="15">
        <v>62.05</v>
      </c>
      <c r="F322" s="8" t="s">
        <v>51</v>
      </c>
      <c r="G322" s="9">
        <v>2.1257000000000001</v>
      </c>
      <c r="H322" s="10">
        <v>45870</v>
      </c>
    </row>
    <row r="323" spans="1:8" ht="15" x14ac:dyDescent="0.25">
      <c r="A323" s="26" t="s">
        <v>326</v>
      </c>
      <c r="B323" s="27">
        <v>39</v>
      </c>
      <c r="C323" s="27">
        <v>55</v>
      </c>
      <c r="D323" s="27">
        <v>43</v>
      </c>
      <c r="E323" s="15">
        <v>45.6</v>
      </c>
      <c r="F323" s="8" t="s">
        <v>51</v>
      </c>
      <c r="G323" s="22">
        <v>2.2734000000000001</v>
      </c>
      <c r="H323" s="10">
        <v>45870</v>
      </c>
    </row>
    <row r="324" spans="1:8" ht="15" x14ac:dyDescent="0.25">
      <c r="A324" s="26" t="s">
        <v>327</v>
      </c>
      <c r="B324" s="27">
        <v>49</v>
      </c>
      <c r="C324" s="27">
        <v>53</v>
      </c>
      <c r="D324" s="27">
        <v>48</v>
      </c>
      <c r="E324" s="15">
        <v>49.75</v>
      </c>
      <c r="F324" s="8" t="s">
        <v>51</v>
      </c>
      <c r="G324" s="25">
        <v>2.1120999999999999</v>
      </c>
      <c r="H324" s="14">
        <v>45870</v>
      </c>
    </row>
    <row r="325" spans="1:8" ht="15" x14ac:dyDescent="0.25">
      <c r="A325" s="26" t="s">
        <v>328</v>
      </c>
      <c r="B325" s="27">
        <v>59</v>
      </c>
      <c r="C325" s="27">
        <v>69</v>
      </c>
      <c r="D325" s="27">
        <v>62</v>
      </c>
      <c r="E325" s="15">
        <v>63.35</v>
      </c>
      <c r="F325" s="8" t="s">
        <v>51</v>
      </c>
      <c r="G325" s="25">
        <v>1.8</v>
      </c>
      <c r="H325" s="14">
        <v>45870</v>
      </c>
    </row>
    <row r="326" spans="1:8" ht="15" x14ac:dyDescent="0.25">
      <c r="A326" s="26" t="s">
        <v>307</v>
      </c>
      <c r="B326" s="27">
        <v>69</v>
      </c>
      <c r="C326" s="27">
        <v>72</v>
      </c>
      <c r="D326" s="27">
        <v>50</v>
      </c>
      <c r="E326" s="15">
        <v>61.35</v>
      </c>
      <c r="F326" s="8" t="s">
        <v>51</v>
      </c>
      <c r="G326" s="25">
        <v>2</v>
      </c>
      <c r="H326" s="14">
        <v>45870</v>
      </c>
    </row>
    <row r="327" spans="1:8" ht="15" x14ac:dyDescent="0.25">
      <c r="A327" s="26" t="s">
        <v>329</v>
      </c>
      <c r="B327" s="27">
        <v>39</v>
      </c>
      <c r="C327" s="27">
        <v>53</v>
      </c>
      <c r="D327" s="27">
        <v>42</v>
      </c>
      <c r="E327" s="15">
        <v>44.55</v>
      </c>
      <c r="F327" s="8" t="s">
        <v>51</v>
      </c>
      <c r="G327" s="8">
        <v>2.3125</v>
      </c>
      <c r="H327" s="14">
        <v>45870</v>
      </c>
    </row>
    <row r="328" spans="1:8" ht="12.75" x14ac:dyDescent="0.2">
      <c r="A328" s="12" t="s">
        <v>330</v>
      </c>
      <c r="B328" s="13">
        <v>53</v>
      </c>
      <c r="C328" s="13">
        <v>63</v>
      </c>
      <c r="D328" s="13">
        <v>56</v>
      </c>
      <c r="E328" s="15">
        <v>57.35</v>
      </c>
      <c r="F328" s="8" t="s">
        <v>51</v>
      </c>
      <c r="G328" s="8">
        <v>2.0099999999999998</v>
      </c>
      <c r="H328" s="14">
        <v>45870</v>
      </c>
    </row>
    <row r="329" spans="1:8" ht="15" x14ac:dyDescent="0.25">
      <c r="A329" s="12" t="s">
        <v>331</v>
      </c>
      <c r="B329" s="13">
        <v>60</v>
      </c>
      <c r="C329" s="13">
        <v>60</v>
      </c>
      <c r="D329" s="13">
        <v>66</v>
      </c>
      <c r="E329" s="15">
        <v>62.7</v>
      </c>
      <c r="F329" s="8" t="s">
        <v>51</v>
      </c>
      <c r="G329" s="25">
        <v>1.77</v>
      </c>
      <c r="H329" s="14">
        <v>45870</v>
      </c>
    </row>
    <row r="330" spans="1:8" ht="15" x14ac:dyDescent="0.25">
      <c r="A330" s="12" t="s">
        <v>332</v>
      </c>
      <c r="B330" s="13">
        <v>62</v>
      </c>
      <c r="C330" s="13">
        <v>71</v>
      </c>
      <c r="D330" s="13">
        <v>45</v>
      </c>
      <c r="E330" s="15">
        <v>57.05</v>
      </c>
      <c r="F330" s="8" t="s">
        <v>51</v>
      </c>
      <c r="G330" s="25">
        <v>1.8088</v>
      </c>
      <c r="H330" s="14">
        <v>45870</v>
      </c>
    </row>
    <row r="331" spans="1:8" ht="12.75" x14ac:dyDescent="0.2">
      <c r="A331" s="12" t="s">
        <v>333</v>
      </c>
      <c r="B331" s="13">
        <v>60</v>
      </c>
      <c r="C331" s="13">
        <v>71</v>
      </c>
      <c r="D331" s="13">
        <v>53</v>
      </c>
      <c r="E331" s="15">
        <v>60.15</v>
      </c>
      <c r="F331" s="8" t="s">
        <v>51</v>
      </c>
      <c r="G331" s="8">
        <v>2.2162999999999999</v>
      </c>
      <c r="H331" s="14">
        <v>45870</v>
      </c>
    </row>
    <row r="332" spans="1:8" ht="15" x14ac:dyDescent="0.25">
      <c r="A332" s="12" t="s">
        <v>334</v>
      </c>
      <c r="B332" s="13">
        <v>63</v>
      </c>
      <c r="C332" s="13">
        <v>59</v>
      </c>
      <c r="D332" s="13">
        <v>50</v>
      </c>
      <c r="E332" s="15">
        <v>55.95</v>
      </c>
      <c r="F332" s="8" t="s">
        <v>51</v>
      </c>
      <c r="G332" s="25">
        <v>1.9470000000000001</v>
      </c>
      <c r="H332" s="14">
        <v>45870</v>
      </c>
    </row>
    <row r="333" spans="1:8" ht="15" x14ac:dyDescent="0.25">
      <c r="A333" s="12" t="s">
        <v>335</v>
      </c>
      <c r="B333" s="13">
        <v>42</v>
      </c>
      <c r="C333" s="13">
        <v>52</v>
      </c>
      <c r="D333" s="13">
        <v>42</v>
      </c>
      <c r="E333" s="15">
        <v>45</v>
      </c>
      <c r="F333" s="8" t="s">
        <v>51</v>
      </c>
      <c r="G333" s="25">
        <v>1.907</v>
      </c>
      <c r="H333" s="14">
        <v>45870</v>
      </c>
    </row>
    <row r="334" spans="1:8" ht="15" x14ac:dyDescent="0.25">
      <c r="A334" s="12" t="s">
        <v>3</v>
      </c>
      <c r="B334" s="13">
        <v>63</v>
      </c>
      <c r="C334" s="13">
        <v>64</v>
      </c>
      <c r="D334" s="13">
        <v>67</v>
      </c>
      <c r="E334" s="15">
        <v>65.099999999999994</v>
      </c>
      <c r="F334" s="8" t="s">
        <v>51</v>
      </c>
      <c r="G334" s="25">
        <v>2.0720000000000001</v>
      </c>
      <c r="H334" s="14">
        <v>45870</v>
      </c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2022 -2025 PRC DATA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2026-03-20T12:54:52Z</dcterms:modified>
</cp:coreProperties>
</file>