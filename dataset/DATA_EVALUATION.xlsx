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dataset\"/>
    </mc:Choice>
  </mc:AlternateContent>
  <xr:revisionPtr revIDLastSave="0" documentId="13_ncr:1_{061D5585-FAFA-4C41-945E-65C220FCB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EVALUATI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<sst xmlns="http://schemas.openxmlformats.org/spreadsheetml/2006/main" count="577" uniqueCount="176">
  <si>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</si>
  <si>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</si>
  <si>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</si>
  <si>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</si>
  <si>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</si>
  <si>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</si>
  <si>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</si>
  <si>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</si>
  <si>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</si>
  <si>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</si>
  <si>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</si>
  <si>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</si>
  <si>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</si>
  <si>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</si>
  <si>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</si>
  <si>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</si>
  <si>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</si>
  <si>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</si>
  <si>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</si>
  <si>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</si>
  <si>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</si>
  <si>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</si>
  <si>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</si>
  <si>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</si>
  <si>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</si>
  <si>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</si>
  <si>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</si>
  <si>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</si>
  <si>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</si>
  <si>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</si>
  <si>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</si>
  <si>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</si>
  <si>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</si>
  <si>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</si>
  <si>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</si>
  <si>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</si>
  <si>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</si>
  <si>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</si>
  <si>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</si>
  <si>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</si>
  <si>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</si>
  <si>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</si>
  <si>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</si>
  <si>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</si>
  <si>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</si>
  <si>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</si>
  <si>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</si>
  <si>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</si>
  <si>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</si>
  <si>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</si>
  <si>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</si>
  <si>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</si>
  <si>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</si>
  <si>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</si>
  <si>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</si>
  <si>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</si>
  <si>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</si>
  <si>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</si>
  <si>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</si>
  <si>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</si>
  <si>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</si>
  <si>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</si>
  <si>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</si>
  <si>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</si>
  <si>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</si>
  <si>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</si>
  <si>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</si>
  <si>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</si>
  <si>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</si>
  <si>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</si>
  <si>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</si>
  <si>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</si>
  <si>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</si>
  <si>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</si>
  <si>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</si>
  <si>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</si>
  <si>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</si>
  <si>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</si>
  <si>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</si>
  <si>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</si>
  <si>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</si>
  <si>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</si>
  <si>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</si>
  <si>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</si>
  <si>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</si>
  <si>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</si>
  <si>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</si>
  <si>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</si>
  <si>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</si>
  <si>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</si>
  <si>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</si>
  <si>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</si>
  <si>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Lack of time, Work-related responsibilities</t>
  </si>
  <si>
    <t>Availability of slots</t>
  </si>
  <si>
    <t>Agree</t>
  </si>
  <si>
    <t>6 months</t>
  </si>
  <si>
    <t>YES</t>
  </si>
  <si>
    <t>STEM</t>
  </si>
  <si>
    <t>Lack of time</t>
  </si>
  <si>
    <t>Neutral</t>
  </si>
  <si>
    <t>Time constraints</t>
  </si>
  <si>
    <t>GAS</t>
  </si>
  <si>
    <t>Limited exposure to problem-solving</t>
  </si>
  <si>
    <t>Strongly Agree</t>
  </si>
  <si>
    <t>Environment</t>
  </si>
  <si>
    <t>Poor time management</t>
  </si>
  <si>
    <t>TVL</t>
  </si>
  <si>
    <t>Mathematics, Engineering Sciences And Allied Subjects</t>
  </si>
  <si>
    <t>Weak foundation in Mathematics, Weak foundation in Science, Limited exposure to problem-solving</t>
  </si>
  <si>
    <t>Online review materials</t>
  </si>
  <si>
    <t>Parents / Family influence</t>
  </si>
  <si>
    <t>HUMMS</t>
  </si>
  <si>
    <t>Mathematics</t>
  </si>
  <si>
    <t>Work-related responsibilities, Lack of motivation</t>
  </si>
  <si>
    <t>Work-related responsibilities</t>
  </si>
  <si>
    <t>Self-review, Online review materials, Review books, Peer group study</t>
  </si>
  <si>
    <t>Sore, John Carlo Aguado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</si>
  <si>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</si>
  <si>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</si>
  <si>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</si>
  <si>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</si>
  <si>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</si>
  <si>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</si>
  <si>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</si>
  <si>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</si>
  <si>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</si>
  <si>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FAILED</t>
  </si>
  <si>
    <t>Arceta, John Daryl Lavado</t>
  </si>
  <si>
    <t>Fabie, Renzon Francia</t>
  </si>
  <si>
    <t>Abella, Arjay Rama</t>
  </si>
  <si>
    <t>Alcaide, Jonel Cabrera</t>
  </si>
  <si>
    <t>Alcoreza, Kathricia Rose Alcala</t>
  </si>
  <si>
    <t>Anda, Samuel Eroles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</si>
  <si>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</si>
  <si>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</si>
  <si>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</si>
  <si>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</si>
  <si>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</si>
  <si>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</si>
  <si>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</si>
  <si>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</si>
  <si>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</si>
  <si>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</si>
  <si>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</si>
  <si>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Bang-Asan, Azer Parago</t>
  </si>
  <si>
    <t>Cortez, Clarence Rolle</t>
  </si>
  <si>
    <t>De Leon, Katrina Vianney Romulo</t>
  </si>
  <si>
    <t>Fabrez, Gabirel Mostrera</t>
  </si>
  <si>
    <t>Menorca, Chariz Sarah Macabacyao</t>
  </si>
  <si>
    <t>Apolinario, John Philip Lugo</t>
  </si>
  <si>
    <t xml:space="preserve">Ariento, Joan Remo </t>
  </si>
  <si>
    <t>Buhat, Mark anthony delos Reyes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</si>
  <si>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</si>
  <si>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</si>
  <si>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</si>
  <si>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</si>
  <si>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</si>
  <si>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</si>
  <si>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 xml:space="preserve">Merana, Raymond Salloman </t>
  </si>
  <si>
    <t>Mercado, Charles Derick Perina</t>
  </si>
  <si>
    <t>Ramores, Edsekiel Escobanas</t>
  </si>
  <si>
    <t>☐ Financial problems</t>
  </si>
  <si>
    <t>EE,ESAS</t>
  </si>
  <si>
    <t>Financial constraints</t>
  </si>
  <si>
    <t>Availability of slots, Peer influence</t>
  </si>
  <si>
    <t>Lack of access, Time constraints,</t>
  </si>
  <si>
    <t>Environment, Hobbies</t>
  </si>
  <si>
    <t>EE, Engineering Sciences And Allied Subjects</t>
  </si>
  <si>
    <t>Self-review</t>
  </si>
  <si>
    <t>Peer group study</t>
  </si>
  <si>
    <t>EE, MATH, ESAS</t>
  </si>
  <si>
    <t>Self-review, Review books</t>
  </si>
  <si>
    <t>Online review materials, Review books</t>
  </si>
  <si>
    <t>Environment, Health issues</t>
  </si>
  <si>
    <t>Lack of access,Time constraints</t>
  </si>
  <si>
    <t>Work-related responsibilities,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</si>
</sst>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9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Roboto"/>
    </font>
    <font>
      <sz val="10"/>
      <color theme="1"/>
      <name val="Times New Roman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4" borderId="3" xfId="0" applyFont="1" applyFill="1" applyBorder="1"/>
    <xf numFmtId="0" fontId="3" fillId="4" borderId="3" xfId="0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5" fillId="4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4" borderId="6" xfId="0" applyFont="1" applyFill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9" xfId="0" applyFont="1" applyFill="1" applyBorder="1"/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164" fontId="2" fillId="9" borderId="3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1" fillId="9" borderId="2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2" fillId="9" borderId="2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1" fillId="9" borderId="0" xfId="0" applyFont="1" applyFill="1" applyAlignment="1">
      <alignment horizontal="center"/>
    </xf>
    <xf numFmtId="0" fontId="4" fillId="9" borderId="3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2" fillId="3" borderId="9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2" fillId="9" borderId="3" xfId="0" applyFont="1" applyFill="1" applyBorder="1"/>
    <xf numFmtId="0" fontId="3" fillId="7" borderId="3" xfId="0" applyFont="1" applyFill="1" applyBorder="1"/>
    <xf numFmtId="0" fontId="1" fillId="3" borderId="1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7" fillId="4" borderId="3" xfId="0" applyFont="1" applyFill="1" applyBorder="1"/>
    <xf numFmtId="0" fontId="1" fillId="4" borderId="16" xfId="0" applyFont="1" applyFill="1" applyBorder="1" applyAlignment="1">
      <alignment horizontal="center"/>
    </xf>
    <xf numFmtId="0" fontId="2" fillId="4" borderId="12" xfId="0" applyFont="1" applyFill="1" applyBorder="1"/>
    <xf numFmtId="0" fontId="1" fillId="4" borderId="1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7" fillId="9" borderId="3" xfId="0" applyFont="1" applyFill="1" applyBorder="1"/>
    <xf numFmtId="0" fontId="8" fillId="9" borderId="0" xfId="0" applyFont="1" applyFill="1"/>
    <xf numFmtId="0" fontId="4" fillId="9" borderId="3" xfId="0" applyFont="1" applyFill="1" applyBorder="1"/>
    <xf numFmtId="0" fontId="1" fillId="9" borderId="12" xfId="0" applyFont="1" applyFill="1" applyBorder="1" applyAlignment="1">
      <alignment horizontal="center"/>
    </xf>
  </cellXfs>
  <cellStyles count="1">
    <cellStyle name="Normal" xfId="0" builtinId="0"/>
  </cellStyles>
  <dxfs count="76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77">
    <tableStyle name="SURVEY RESULTS-style" pivot="0" count="4" xr9:uid="{00000000-0011-0000-FFFF-FFFF00000000}">
      <tableStyleElement type="wholeTable" size="0" dxfId="762"/>
      <tableStyleElement type="headerRow" dxfId="765"/>
      <tableStyleElement type="firstRowStripe" dxfId="764"/>
      <tableStyleElement type="secondRowStripe" dxfId="763"/>
    </tableStyle>
    <tableStyle name="2022 -2025 PRC DATA RECORD-style" pivot="0" count="2" xr9:uid="{00000000-0011-0000-FFFF-FFFF01000000}">
      <tableStyleElement type="firstRowStripe" dxfId="761"/>
      <tableStyleElement type="secondRowStripe" dxfId="760"/>
    </tableStyle>
    <tableStyle name="2022 -2025 PRC DATA RECORD-style 2" pivot="0" count="2" xr9:uid="{00000000-0011-0000-FFFF-FFFF02000000}">
      <tableStyleElement type="firstRowStripe" dxfId="759"/>
      <tableStyleElement type="secondRowStripe" dxfId="758"/>
    </tableStyle>
    <tableStyle name="2022 -2025 PRC DATA RECORD-style 3" pivot="0" count="2" xr9:uid="{00000000-0011-0000-FFFF-FFFF03000000}">
      <tableStyleElement type="firstRowStripe" dxfId="757"/>
      <tableStyleElement type="secondRowStripe" dxfId="756"/>
    </tableStyle>
    <tableStyle name="2022 -2025 PRC DATA RECORD-style 4" pivot="0" count="2" xr9:uid="{00000000-0011-0000-FFFF-FFFF04000000}">
      <tableStyleElement type="firstRowStripe" dxfId="755"/>
      <tableStyleElement type="secondRowStripe" dxfId="754"/>
    </tableStyle>
    <tableStyle name="2022 -2025 PRC DATA RECORD-style 5" pivot="0" count="2" xr9:uid="{00000000-0011-0000-FFFF-FFFF05000000}">
      <tableStyleElement type="firstRowStripe" dxfId="753"/>
      <tableStyleElement type="secondRowStripe" dxfId="752"/>
    </tableStyle>
    <tableStyle name="2022 -2025 PRC DATA RECORD-style 6" pivot="0" count="2" xr9:uid="{00000000-0011-0000-FFFF-FFFF06000000}">
      <tableStyleElement type="firstRowStripe" dxfId="751"/>
      <tableStyleElement type="secondRowStripe" dxfId="750"/>
    </tableStyle>
    <tableStyle name="2022 -2025 PRC DATA RECORD-style 7" pivot="0" count="2" xr9:uid="{00000000-0011-0000-FFFF-FFFF07000000}">
      <tableStyleElement type="firstRowStripe" dxfId="749"/>
      <tableStyleElement type="secondRowStripe" dxfId="748"/>
    </tableStyle>
    <tableStyle name="2022 -2025 PRC DATA RECORD-style 8" pivot="0" count="2" xr9:uid="{00000000-0011-0000-FFFF-FFFF08000000}">
      <tableStyleElement type="firstRowStripe" dxfId="747"/>
      <tableStyleElement type="secondRowStripe" dxfId="746"/>
    </tableStyle>
    <tableStyle name="2022 -2025 PRC DATA RECORD-style 9" pivot="0" count="2" xr9:uid="{00000000-0011-0000-FFFF-FFFF09000000}">
      <tableStyleElement type="firstRowStripe" dxfId="745"/>
      <tableStyleElement type="secondRowStripe" dxfId="744"/>
    </tableStyle>
    <tableStyle name="2022 -2025 PRC DATA RECORD-style 10" pivot="0" count="2" xr9:uid="{00000000-0011-0000-FFFF-FFFF0A000000}">
      <tableStyleElement type="firstRowStripe" dxfId="743"/>
      <tableStyleElement type="secondRowStripe" dxfId="742"/>
    </tableStyle>
    <tableStyle name="2022 -2025 PRC DATA RECORD-style 11" pivot="0" count="2" xr9:uid="{00000000-0011-0000-FFFF-FFFF0B000000}">
      <tableStyleElement type="firstRowStripe" dxfId="741"/>
      <tableStyleElement type="secondRowStripe" dxfId="740"/>
    </tableStyle>
    <tableStyle name="2022 -2025 PRC DATA RECORD-style 12" pivot="0" count="2" xr9:uid="{00000000-0011-0000-FFFF-FFFF0C000000}">
      <tableStyleElement type="firstRowStripe" dxfId="739"/>
      <tableStyleElement type="secondRowStripe" dxfId="738"/>
    </tableStyle>
    <tableStyle name="2022 -2025 PRC DATA RECORD-style 13" pivot="0" count="2" xr9:uid="{00000000-0011-0000-FFFF-FFFF0D000000}">
      <tableStyleElement type="firstRowStripe" dxfId="737"/>
      <tableStyleElement type="secondRowStripe" dxfId="736"/>
    </tableStyle>
    <tableStyle name="2022 -2025 PRC DATA RECORD-style 14" pivot="0" count="2" xr9:uid="{00000000-0011-0000-FFFF-FFFF0E000000}">
      <tableStyleElement type="firstRowStripe" dxfId="735"/>
      <tableStyleElement type="secondRowStripe" dxfId="734"/>
    </tableStyle>
    <tableStyle name="2022 -2025 PRC DATA RECORD-style 15" pivot="0" count="2" xr9:uid="{00000000-0011-0000-FFFF-FFFF0F000000}">
      <tableStyleElement type="firstRowStripe" dxfId="733"/>
      <tableStyleElement type="secondRowStripe" dxfId="732"/>
    </tableStyle>
    <tableStyle name="2022 -2025 PRC DATA RECORD-style 16" pivot="0" count="2" xr9:uid="{00000000-0011-0000-FFFF-FFFF10000000}">
      <tableStyleElement type="firstRowStripe" dxfId="731"/>
      <tableStyleElement type="secondRowStripe" dxfId="730"/>
    </tableStyle>
    <tableStyle name="2022 -2025 PRC DATA RECORD-style 17" pivot="0" count="2" xr9:uid="{00000000-0011-0000-FFFF-FFFF11000000}">
      <tableStyleElement type="firstRowStripe" dxfId="729"/>
      <tableStyleElement type="secondRowStripe" dxfId="728"/>
    </tableStyle>
    <tableStyle name="2022 -2025 PRC DATA RECORD-style 18" pivot="0" count="2" xr9:uid="{00000000-0011-0000-FFFF-FFFF12000000}">
      <tableStyleElement type="firstRowStripe" dxfId="727"/>
      <tableStyleElement type="secondRowStripe" dxfId="726"/>
    </tableStyle>
    <tableStyle name="2022 -2025 PRC DATA RECORD-style 19" pivot="0" count="2" xr9:uid="{00000000-0011-0000-FFFF-FFFF13000000}">
      <tableStyleElement type="firstRowStripe" dxfId="725"/>
      <tableStyleElement type="secondRowStripe" dxfId="724"/>
    </tableStyle>
    <tableStyle name="2022 -2025 PRC DATA RECORD-style 20" pivot="0" count="2" xr9:uid="{00000000-0011-0000-FFFF-FFFF14000000}">
      <tableStyleElement type="firstRowStripe" dxfId="723"/>
      <tableStyleElement type="secondRowStripe" dxfId="722"/>
    </tableStyle>
    <tableStyle name="2022 -2025 PRC DATA RECORD-style 21" pivot="0" count="2" xr9:uid="{00000000-0011-0000-FFFF-FFFF15000000}">
      <tableStyleElement type="firstRowStripe" dxfId="721"/>
      <tableStyleElement type="secondRowStripe" dxfId="720"/>
    </tableStyle>
    <tableStyle name="2022 -2025 PRC DATA RECORD-style 22" pivot="0" count="2" xr9:uid="{00000000-0011-0000-FFFF-FFFF16000000}">
      <tableStyleElement type="firstRowStripe" dxfId="719"/>
      <tableStyleElement type="secondRowStripe" dxfId="718"/>
    </tableStyle>
    <tableStyle name="2022 -2025 PRC DATA RECORD-style 23" pivot="0" count="2" xr9:uid="{00000000-0011-0000-FFFF-FFFF17000000}">
      <tableStyleElement type="firstRowStripe" dxfId="717"/>
      <tableStyleElement type="secondRowStripe" dxfId="716"/>
    </tableStyle>
    <tableStyle name="2022 -2025 PRC DATA RECORD-style 24" pivot="0" count="2" xr9:uid="{00000000-0011-0000-FFFF-FFFF18000000}">
      <tableStyleElement type="firstRowStripe" dxfId="715"/>
      <tableStyleElement type="secondRowStripe" dxfId="714"/>
    </tableStyle>
    <tableStyle name="2022 -2025 PRC DATA RECORD-style 25" pivot="0" count="2" xr9:uid="{00000000-0011-0000-FFFF-FFFF19000000}">
      <tableStyleElement type="firstRowStripe" dxfId="713"/>
      <tableStyleElement type="secondRowStripe" dxfId="712"/>
    </tableStyle>
    <tableStyle name="DATA_MODEL-style" pivot="0" count="4" xr9:uid="{00000000-0011-0000-FFFF-FFFF1A000000}">
      <tableStyleElement type="wholeTable" size="0" dxfId="708"/>
      <tableStyleElement type="headerRow" dxfId="711"/>
      <tableStyleElement type="firstRowStripe" dxfId="710"/>
      <tableStyleElement type="secondRowStripe" dxfId="709"/>
    </tableStyle>
    <tableStyle name="DATA_MODEL-style 2" pivot="0" count="2" xr9:uid="{00000000-0011-0000-FFFF-FFFF1B000000}">
      <tableStyleElement type="firstRowStripe" dxfId="707"/>
      <tableStyleElement type="secondRowStripe" dxfId="706"/>
    </tableStyle>
    <tableStyle name="DATA_MODEL-style 3" pivot="0" count="2" xr9:uid="{00000000-0011-0000-FFFF-FFFF1C000000}">
      <tableStyleElement type="firstRowStripe" dxfId="705"/>
      <tableStyleElement type="secondRowStripe" dxfId="704"/>
    </tableStyle>
    <tableStyle name="DATA_MODEL-style 4" pivot="0" count="2" xr9:uid="{00000000-0011-0000-FFFF-FFFF1D000000}">
      <tableStyleElement type="firstRowStripe" dxfId="703"/>
      <tableStyleElement type="secondRowStripe" dxfId="702"/>
    </tableStyle>
    <tableStyle name="DATA_MODEL-style 5" pivot="0" count="2" xr9:uid="{00000000-0011-0000-FFFF-FFFF1E000000}">
      <tableStyleElement type="firstRowStripe" dxfId="701"/>
      <tableStyleElement type="secondRowStripe" dxfId="700"/>
    </tableStyle>
    <tableStyle name="DATA_MODEL-style 6" pivot="0" count="2" xr9:uid="{00000000-0011-0000-FFFF-FFFF1F000000}">
      <tableStyleElement type="firstRowStripe" dxfId="699"/>
      <tableStyleElement type="secondRowStripe" dxfId="698"/>
    </tableStyle>
    <tableStyle name="DATA_MODEL-style 7" pivot="0" count="2" xr9:uid="{00000000-0011-0000-FFFF-FFFF20000000}">
      <tableStyleElement type="firstRowStripe" dxfId="697"/>
      <tableStyleElement type="secondRowStripe" dxfId="696"/>
    </tableStyle>
    <tableStyle name="DATA_MODEL-style 8" pivot="0" count="2" xr9:uid="{00000000-0011-0000-FFFF-FFFF21000000}">
      <tableStyleElement type="firstRowStripe" dxfId="695"/>
      <tableStyleElement type="secondRowStripe" dxfId="694"/>
    </tableStyle>
    <tableStyle name="DATA_MODEL-style 9" pivot="0" count="2" xr9:uid="{00000000-0011-0000-FFFF-FFFF22000000}">
      <tableStyleElement type="firstRowStripe" dxfId="693"/>
      <tableStyleElement type="secondRowStripe" dxfId="692"/>
    </tableStyle>
    <tableStyle name="DATA_MODEL-style 10" pivot="0" count="2" xr9:uid="{00000000-0011-0000-FFFF-FFFF23000000}">
      <tableStyleElement type="firstRowStripe" dxfId="691"/>
      <tableStyleElement type="secondRowStripe" dxfId="690"/>
    </tableStyle>
    <tableStyle name="DATA_MODEL-style 11" pivot="0" count="2" xr9:uid="{00000000-0011-0000-FFFF-FFFF24000000}">
      <tableStyleElement type="firstRowStripe" dxfId="689"/>
      <tableStyleElement type="secondRowStripe" dxfId="688"/>
    </tableStyle>
    <tableStyle name="DATA_MODEL-style 12" pivot="0" count="2" xr9:uid="{00000000-0011-0000-FFFF-FFFF25000000}">
      <tableStyleElement type="firstRowStripe" dxfId="687"/>
      <tableStyleElement type="secondRowStripe" dxfId="686"/>
    </tableStyle>
    <tableStyle name="DATA_MODEL-style 13" pivot="0" count="2" xr9:uid="{00000000-0011-0000-FFFF-FFFF26000000}">
      <tableStyleElement type="firstRowStripe" dxfId="685"/>
      <tableStyleElement type="secondRowStripe" dxfId="684"/>
    </tableStyle>
    <tableStyle name="DATA_MODEL-style 14" pivot="0" count="2" xr9:uid="{00000000-0011-0000-FFFF-FFFF27000000}">
      <tableStyleElement type="firstRowStripe" dxfId="683"/>
      <tableStyleElement type="secondRowStripe" dxfId="682"/>
    </tableStyle>
    <tableStyle name="DATA_MODEL-style 15" pivot="0" count="2" xr9:uid="{00000000-0011-0000-FFFF-FFFF28000000}">
      <tableStyleElement type="firstRowStripe" dxfId="681"/>
      <tableStyleElement type="secondRowStripe" dxfId="680"/>
    </tableStyle>
    <tableStyle name="DATA_MODEL-style 16" pivot="0" count="2" xr9:uid="{00000000-0011-0000-FFFF-FFFF29000000}">
      <tableStyleElement type="firstRowStripe" dxfId="679"/>
      <tableStyleElement type="secondRowStripe" dxfId="678"/>
    </tableStyle>
    <tableStyle name="DATA_MODEL-style 17" pivot="0" count="2" xr9:uid="{00000000-0011-0000-FFFF-FFFF2A000000}">
      <tableStyleElement type="firstRowStripe" dxfId="677"/>
      <tableStyleElement type="secondRowStripe" dxfId="676"/>
    </tableStyle>
    <tableStyle name="DATA_MODEL-style 18" pivot="0" count="2" xr9:uid="{00000000-0011-0000-FFFF-FFFF2B000000}">
      <tableStyleElement type="firstRowStripe" dxfId="675"/>
      <tableStyleElement type="secondRowStripe" dxfId="674"/>
    </tableStyle>
    <tableStyle name="DATA_MODEL-style 19" pivot="0" count="2" xr9:uid="{00000000-0011-0000-FFFF-FFFF2C000000}">
      <tableStyleElement type="firstRowStripe" dxfId="673"/>
      <tableStyleElement type="secondRowStripe" dxfId="672"/>
    </tableStyle>
    <tableStyle name="DATA_MODEL-style 20" pivot="0" count="2" xr9:uid="{00000000-0011-0000-FFFF-FFFF2D000000}">
      <tableStyleElement type="firstRowStripe" dxfId="671"/>
      <tableStyleElement type="secondRowStripe" dxfId="670"/>
    </tableStyle>
    <tableStyle name="DATA_MODEL-style 21" pivot="0" count="2" xr9:uid="{00000000-0011-0000-FFFF-FFFF2E000000}">
      <tableStyleElement type="firstRowStripe" dxfId="669"/>
      <tableStyleElement type="secondRowStripe" dxfId="668"/>
    </tableStyle>
    <tableStyle name="DATA_MODEL-style 22" pivot="0" count="2" xr9:uid="{00000000-0011-0000-FFFF-FFFF2F000000}">
      <tableStyleElement type="firstRowStripe" dxfId="667"/>
      <tableStyleElement type="secondRowStripe" dxfId="666"/>
    </tableStyle>
    <tableStyle name="DATA_MODEL-style 23" pivot="0" count="2" xr9:uid="{00000000-0011-0000-FFFF-FFFF30000000}">
      <tableStyleElement type="firstRowStripe" dxfId="665"/>
      <tableStyleElement type="secondRowStripe" dxfId="664"/>
    </tableStyle>
    <tableStyle name="DATA_MODEL-style 24" pivot="0" count="2" xr9:uid="{00000000-0011-0000-FFFF-FFFF31000000}">
      <tableStyleElement type="firstRowStripe" dxfId="663"/>
      <tableStyleElement type="secondRowStripe" dxfId="662"/>
    </tableStyle>
    <tableStyle name="DATA_MODEL-style 25" pivot="0" count="2" xr9:uid="{00000000-0011-0000-FFFF-FFFF32000000}">
      <tableStyleElement type="firstRowStripe" dxfId="661"/>
      <tableStyleElement type="secondRowStripe" dxfId="660"/>
    </tableStyle>
    <tableStyle name="DATA_MODEL-style 26" pivot="0" count="2" xr9:uid="{00000000-0011-0000-FFFF-FFFF33000000}">
      <tableStyleElement type="firstRowStripe" dxfId="659"/>
      <tableStyleElement type="secondRowStripe" dxfId="658"/>
    </tableStyle>
    <tableStyle name="DATA_MODEL-style 27" pivot="0" count="2" xr9:uid="{00000000-0011-0000-FFFF-FFFF34000000}">
      <tableStyleElement type="firstRowStripe" dxfId="657"/>
      <tableStyleElement type="secondRowStripe" dxfId="656"/>
    </tableStyle>
    <tableStyle name="DATA_MODEL-style 28" pivot="0" count="2" xr9:uid="{00000000-0011-0000-FFFF-FFFF35000000}">
      <tableStyleElement type="firstRowStripe" dxfId="655"/>
      <tableStyleElement type="secondRowStripe" dxfId="654"/>
    </tableStyle>
    <tableStyle name="DATA_MODEL-style 29" pivot="0" count="2" xr9:uid="{00000000-0011-0000-FFFF-FFFF36000000}">
      <tableStyleElement type="firstRowStripe" dxfId="653"/>
      <tableStyleElement type="secondRowStripe" dxfId="652"/>
    </tableStyle>
    <tableStyle name="DATA_MODEL-style 30" pivot="0" count="2" xr9:uid="{00000000-0011-0000-FFFF-FFFF37000000}">
      <tableStyleElement type="firstRowStripe" dxfId="651"/>
      <tableStyleElement type="secondRowStripe" dxfId="650"/>
    </tableStyle>
    <tableStyle name="DATA_MODEL-style 31" pivot="0" count="2" xr9:uid="{00000000-0011-0000-FFFF-FFFF38000000}">
      <tableStyleElement type="firstRowStripe" dxfId="649"/>
      <tableStyleElement type="secondRowStripe" dxfId="648"/>
    </tableStyle>
    <tableStyle name="DATA_MODEL-style 32" pivot="0" count="2" xr9:uid="{00000000-0011-0000-FFFF-FFFF39000000}">
      <tableStyleElement type="firstRowStripe" dxfId="647"/>
      <tableStyleElement type="secondRowStripe" dxfId="646"/>
    </tableStyle>
    <tableStyle name="DATA_MODEL-style 33" pivot="0" count="2" xr9:uid="{00000000-0011-0000-FFFF-FFFF3A000000}">
      <tableStyleElement type="firstRowStripe" dxfId="645"/>
      <tableStyleElement type="secondRowStripe" dxfId="644"/>
    </tableStyle>
    <tableStyle name="DATA_MODEL-style 34" pivot="0" count="2" xr9:uid="{00000000-0011-0000-FFFF-FFFF3B000000}">
      <tableStyleElement type="firstRowStripe" dxfId="643"/>
      <tableStyleElement type="secondRowStripe" dxfId="642"/>
    </tableStyle>
    <tableStyle name="DATA_MODEL-style 35" pivot="0" count="2" xr9:uid="{00000000-0011-0000-FFFF-FFFF3C000000}">
      <tableStyleElement type="firstRowStripe" dxfId="641"/>
      <tableStyleElement type="secondRowStripe" dxfId="640"/>
    </tableStyle>
    <tableStyle name="DATA_MODEL-style 36" pivot="0" count="2" xr9:uid="{00000000-0011-0000-FFFF-FFFF3D000000}">
      <tableStyleElement type="firstRowStripe" dxfId="639"/>
      <tableStyleElement type="secondRowStripe" dxfId="638"/>
    </tableStyle>
    <tableStyle name="DATA_MODEL-style 37" pivot="0" count="2" xr9:uid="{00000000-0011-0000-FFFF-FFFF3E000000}">
      <tableStyleElement type="firstRowStripe" dxfId="637"/>
      <tableStyleElement type="secondRowStripe" dxfId="636"/>
    </tableStyle>
    <tableStyle name="DATA_MODEL-style 38" pivot="0" count="2" xr9:uid="{00000000-0011-0000-FFFF-FFFF3F000000}">
      <tableStyleElement type="firstRowStripe" dxfId="635"/>
      <tableStyleElement type="secondRowStripe" dxfId="634"/>
    </tableStyle>
    <tableStyle name="DATA_MODEL-style 39" pivot="0" count="2" xr9:uid="{00000000-0011-0000-FFFF-FFFF40000000}">
      <tableStyleElement type="firstRowStripe" dxfId="633"/>
      <tableStyleElement type="secondRowStripe" dxfId="632"/>
    </tableStyle>
    <tableStyle name="DATA_MODEL-style 40" pivot="0" count="2" xr9:uid="{00000000-0011-0000-FFFF-FFFF41000000}">
      <tableStyleElement type="firstRowStripe" dxfId="631"/>
      <tableStyleElement type="secondRowStripe" dxfId="630"/>
    </tableStyle>
    <tableStyle name="DATA_MODEL-style 41" pivot="0" count="2" xr9:uid="{00000000-0011-0000-FFFF-FFFF42000000}">
      <tableStyleElement type="firstRowStripe" dxfId="629"/>
      <tableStyleElement type="secondRowStripe" dxfId="628"/>
    </tableStyle>
    <tableStyle name="DATA_MODEL-style 42" pivot="0" count="2" xr9:uid="{00000000-0011-0000-FFFF-FFFF43000000}">
      <tableStyleElement type="firstRowStripe" dxfId="627"/>
      <tableStyleElement type="secondRowStripe" dxfId="626"/>
    </tableStyle>
    <tableStyle name="DATA_MODEL-style 43" pivot="0" count="2" xr9:uid="{00000000-0011-0000-FFFF-FFFF44000000}">
      <tableStyleElement type="firstRowStripe" dxfId="625"/>
      <tableStyleElement type="secondRowStripe" dxfId="624"/>
    </tableStyle>
    <tableStyle name="DATA_MODEL-style 44" pivot="0" count="2" xr9:uid="{00000000-0011-0000-FFFF-FFFF45000000}">
      <tableStyleElement type="firstRowStripe" dxfId="623"/>
      <tableStyleElement type="secondRowStripe" dxfId="622"/>
    </tableStyle>
    <tableStyle name="DATA_MODEL-style 45" pivot="0" count="2" xr9:uid="{00000000-0011-0000-FFFF-FFFF46000000}">
      <tableStyleElement type="firstRowStripe" dxfId="621"/>
      <tableStyleElement type="secondRowStripe" dxfId="620"/>
    </tableStyle>
    <tableStyle name="DATA_EVALUATION-style" pivot="0" count="4" xr9:uid="{00000000-0011-0000-FFFF-FFFF47000000}">
      <tableStyleElement type="wholeTable" size="0" dxfId="616"/>
      <tableStyleElement type="headerRow" dxfId="619"/>
      <tableStyleElement type="firstRowStripe" dxfId="618"/>
      <tableStyleElement type="secondRowStripe" dxfId="617"/>
    </tableStyle>
    <tableStyle name="DATA_EVALUATION-style 2" pivot="0" count="2" xr9:uid="{00000000-0011-0000-FFFF-FFFF48000000}">
      <tableStyleElement type="firstRowStripe" dxfId="615"/>
      <tableStyleElement type="secondRowStripe" dxfId="614"/>
    </tableStyle>
    <tableStyle name="DATA_EVALUATION-style 3" pivot="0" count="2" xr9:uid="{00000000-0011-0000-FFFF-FFFF49000000}">
      <tableStyleElement type="firstRowStripe" dxfId="613"/>
      <tableStyleElement type="secondRowStripe" dxfId="612"/>
    </tableStyle>
    <tableStyle name="DATA_EVALUATION-style 4" pivot="0" count="2" xr9:uid="{00000000-0011-0000-FFFF-FFFF4A000000}">
      <tableStyleElement type="firstRowStripe" dxfId="611"/>
      <tableStyleElement type="secondRowStripe" dxfId="610"/>
    </tableStyle>
    <tableStyle name="DATA_ALL-style" pivot="0" count="4" xr9:uid="{00000000-0011-0000-FFFF-FFFF4B000000}">
      <tableStyleElement type="wholeTable" size="0" dxfId="606"/>
      <tableStyleElement type="headerRow" dxfId="609"/>
      <tableStyleElement type="firstRowStripe" dxfId="608"/>
      <tableStyleElement type="secondRowStripe" dxfId="607"/>
    </tableStyle>
    <tableStyle name="DATA_ALL-style 2" pivot="0" count="2" xr9:uid="{00000000-0011-0000-FFFF-FFFF4C000000}">
      <tableStyleElement type="firstRowStripe" dxfId="605"/>
      <tableStyleElement type="secondRowStripe" dxfId="604"/>
    </tableStyle>
    <tableStyle name="DATA_ALL-style 3" pivot="0" count="2" xr9:uid="{00000000-0011-0000-FFFF-FFFF4D000000}">
      <tableStyleElement type="firstRowStripe" dxfId="603"/>
      <tableStyleElement type="secondRowStripe" dxfId="602"/>
    </tableStyle>
    <tableStyle name="DATA_ALL-style 4" pivot="0" count="2" xr9:uid="{00000000-0011-0000-FFFF-FFFF4E000000}">
      <tableStyleElement type="firstRowStripe" dxfId="601"/>
      <tableStyleElement type="secondRowStripe" dxfId="600"/>
    </tableStyle>
    <tableStyle name="DATA_ALL-style 5" pivot="0" count="2" xr9:uid="{00000000-0011-0000-FFFF-FFFF4F000000}">
      <tableStyleElement type="firstRowStripe" dxfId="599"/>
      <tableStyleElement type="secondRowStripe" dxfId="598"/>
    </tableStyle>
    <tableStyle name="DATA_ALL-style 6" pivot="0" count="2" xr9:uid="{00000000-0011-0000-FFFF-FFFF50000000}">
      <tableStyleElement type="firstRowStripe" dxfId="597"/>
      <tableStyleElement type="secondRowStripe" dxfId="596"/>
    </tableStyle>
    <tableStyle name="DATA_ALL-style 7" pivot="0" count="2" xr9:uid="{00000000-0011-0000-FFFF-FFFF51000000}">
      <tableStyleElement type="firstRowStripe" dxfId="595"/>
      <tableStyleElement type="secondRowStripe" dxfId="594"/>
    </tableStyle>
    <tableStyle name="DATA_ALL-style 8" pivot="0" count="2" xr9:uid="{00000000-0011-0000-FFFF-FFFF52000000}">
      <tableStyleElement type="firstRowStripe" dxfId="593"/>
      <tableStyleElement type="secondRowStripe" dxfId="592"/>
    </tableStyle>
    <tableStyle name="DATA_ALL-style 9" pivot="0" count="2" xr9:uid="{00000000-0011-0000-FFFF-FFFF53000000}">
      <tableStyleElement type="firstRowStripe" dxfId="591"/>
      <tableStyleElement type="secondRowStripe" dxfId="590"/>
    </tableStyle>
    <tableStyle name="DATA_ALL-style 10" pivot="0" count="2" xr9:uid="{00000000-0011-0000-FFFF-FFFF54000000}">
      <tableStyleElement type="firstRowStripe" dxfId="589"/>
      <tableStyleElement type="secondRowStripe" dxfId="588"/>
    </tableStyle>
    <tableStyle name="DATA_ALL-style 11" pivot="0" count="2" xr9:uid="{00000000-0011-0000-FFFF-FFFF55000000}">
      <tableStyleElement type="firstRowStripe" dxfId="587"/>
      <tableStyleElement type="secondRowStripe" dxfId="586"/>
    </tableStyle>
    <tableStyle name="DATA_ALL-style 12" pivot="0" count="2" xr9:uid="{00000000-0011-0000-FFFF-FFFF56000000}">
      <tableStyleElement type="firstRowStripe" dxfId="585"/>
      <tableStyleElement type="secondRowStripe" dxfId="584"/>
    </tableStyle>
    <tableStyle name="DATA_ALL-style 13" pivot="0" count="2" xr9:uid="{00000000-0011-0000-FFFF-FFFF57000000}">
      <tableStyleElement type="firstRowStripe" dxfId="583"/>
      <tableStyleElement type="secondRowStripe" dxfId="582"/>
    </tableStyle>
    <tableStyle name="DATA_ALL-style 14" pivot="0" count="2" xr9:uid="{00000000-0011-0000-FFFF-FFFF58000000}">
      <tableStyleElement type="firstRowStripe" dxfId="581"/>
      <tableStyleElement type="secondRowStripe" dxfId="580"/>
    </tableStyle>
    <tableStyle name="DATA_ALL-style 15" pivot="0" count="2" xr9:uid="{00000000-0011-0000-FFFF-FFFF59000000}">
      <tableStyleElement type="firstRowStripe" dxfId="579"/>
      <tableStyleElement type="secondRowStripe" dxfId="578"/>
    </tableStyle>
    <tableStyle name="DATA_ALL-style 16" pivot="0" count="2" xr9:uid="{00000000-0011-0000-FFFF-FFFF5A000000}">
      <tableStyleElement type="firstRowStripe" dxfId="577"/>
      <tableStyleElement type="secondRowStripe" dxfId="576"/>
    </tableStyle>
    <tableStyle name="DATA_ALL-style 17" pivot="0" count="2" xr9:uid="{00000000-0011-0000-FFFF-FFFF5B000000}">
      <tableStyleElement type="firstRowStripe" dxfId="575"/>
      <tableStyleElement type="secondRowStripe" dxfId="574"/>
    </tableStyle>
    <tableStyle name="DATA_ALL-style 18" pivot="0" count="2" xr9:uid="{00000000-0011-0000-FFFF-FFFF5C000000}">
      <tableStyleElement type="firstRowStripe" dxfId="573"/>
      <tableStyleElement type="secondRowStripe" dxfId="572"/>
    </tableStyle>
    <tableStyle name="DATA_ALL-style 19" pivot="0" count="2" xr9:uid="{00000000-0011-0000-FFFF-FFFF5D000000}">
      <tableStyleElement type="firstRowStripe" dxfId="571"/>
      <tableStyleElement type="secondRowStripe" dxfId="570"/>
    </tableStyle>
    <tableStyle name="DATA_ALL-style 20" pivot="0" count="2" xr9:uid="{00000000-0011-0000-FFFF-FFFF5E000000}">
      <tableStyleElement type="firstRowStripe" dxfId="569"/>
      <tableStyleElement type="secondRowStripe" dxfId="568"/>
    </tableStyle>
    <tableStyle name="DATA_ALL-style 21" pivot="0" count="2" xr9:uid="{00000000-0011-0000-FFFF-FFFF5F000000}">
      <tableStyleElement type="firstRowStripe" dxfId="567"/>
      <tableStyleElement type="secondRowStripe" dxfId="566"/>
    </tableStyle>
    <tableStyle name="DATA_ALL-style 22" pivot="0" count="2" xr9:uid="{00000000-0011-0000-FFFF-FFFF60000000}">
      <tableStyleElement type="firstRowStripe" dxfId="565"/>
      <tableStyleElement type="secondRowStripe" dxfId="564"/>
    </tableStyle>
    <tableStyle name="DATA_ALL-style 23" pivot="0" count="2" xr9:uid="{00000000-0011-0000-FFFF-FFFF61000000}">
      <tableStyleElement type="firstRowStripe" dxfId="563"/>
      <tableStyleElement type="secondRowStripe" dxfId="562"/>
    </tableStyle>
    <tableStyle name="DATA_ALL-style 24" pivot="0" count="2" xr9:uid="{00000000-0011-0000-FFFF-FFFF62000000}">
      <tableStyleElement type="firstRowStripe" dxfId="561"/>
      <tableStyleElement type="secondRowStripe" dxfId="560"/>
    </tableStyle>
    <tableStyle name="DATA_ALL-style 25" pivot="0" count="2" xr9:uid="{00000000-0011-0000-FFFF-FFFF63000000}">
      <tableStyleElement type="firstRowStripe" dxfId="559"/>
      <tableStyleElement type="secondRowStripe" dxfId="558"/>
    </tableStyle>
    <tableStyle name="DATA_ALL-style 26" pivot="0" count="2" xr9:uid="{00000000-0011-0000-FFFF-FFFF64000000}">
      <tableStyleElement type="firstRowStripe" dxfId="557"/>
      <tableStyleElement type="secondRowStripe" dxfId="556"/>
    </tableStyle>
    <tableStyle name="DATA_ALL-style 27" pivot="0" count="2" xr9:uid="{00000000-0011-0000-FFFF-FFFF65000000}">
      <tableStyleElement type="firstRowStripe" dxfId="555"/>
      <tableStyleElement type="secondRowStripe" dxfId="554"/>
    </tableStyle>
    <tableStyle name="DATA_ALL-style 28" pivot="0" count="2" xr9:uid="{00000000-0011-0000-FFFF-FFFF66000000}">
      <tableStyleElement type="firstRowStripe" dxfId="553"/>
      <tableStyleElement type="secondRowStripe" dxfId="552"/>
    </tableStyle>
    <tableStyle name="DATA_ALL-style 29" pivot="0" count="2" xr9:uid="{00000000-0011-0000-FFFF-FFFF67000000}">
      <tableStyleElement type="firstRowStripe" dxfId="551"/>
      <tableStyleElement type="secondRowStripe" dxfId="550"/>
    </tableStyle>
    <tableStyle name="DATA_ALL-style 30" pivot="0" count="2" xr9:uid="{00000000-0011-0000-FFFF-FFFF68000000}">
      <tableStyleElement type="firstRowStripe" dxfId="549"/>
      <tableStyleElement type="secondRowStripe" dxfId="548"/>
    </tableStyle>
    <tableStyle name="DATA_ALL-style 31" pivot="0" count="2" xr9:uid="{00000000-0011-0000-FFFF-FFFF69000000}">
      <tableStyleElement type="firstRowStripe" dxfId="547"/>
      <tableStyleElement type="secondRowStripe" dxfId="546"/>
    </tableStyle>
    <tableStyle name="DATA_ALL-style 32" pivot="0" count="2" xr9:uid="{00000000-0011-0000-FFFF-FFFF6A000000}">
      <tableStyleElement type="firstRowStripe" dxfId="545"/>
      <tableStyleElement type="secondRowStripe" dxfId="544"/>
    </tableStyle>
    <tableStyle name="DATA_ALL-style 33" pivot="0" count="2" xr9:uid="{00000000-0011-0000-FFFF-FFFF6B000000}">
      <tableStyleElement type="firstRowStripe" dxfId="543"/>
      <tableStyleElement type="secondRowStripe" dxfId="542"/>
    </tableStyle>
    <tableStyle name="DATA_ALL-style 34" pivot="0" count="2" xr9:uid="{00000000-0011-0000-FFFF-FFFF6C000000}">
      <tableStyleElement type="firstRowStripe" dxfId="541"/>
      <tableStyleElement type="secondRowStripe" dxfId="540"/>
    </tableStyle>
    <tableStyle name="DATA_ALL-style 35" pivot="0" count="2" xr9:uid="{00000000-0011-0000-FFFF-FFFF6D000000}">
      <tableStyleElement type="firstRowStripe" dxfId="539"/>
      <tableStyleElement type="secondRowStripe" dxfId="538"/>
    </tableStyle>
    <tableStyle name="DATA_ALL-style 36" pivot="0" count="2" xr9:uid="{00000000-0011-0000-FFFF-FFFF6E000000}">
      <tableStyleElement type="firstRowStripe" dxfId="537"/>
      <tableStyleElement type="secondRowStripe" dxfId="536"/>
    </tableStyle>
    <tableStyle name="DATA_ALL-style 37" pivot="0" count="2" xr9:uid="{00000000-0011-0000-FFFF-FFFF6F000000}">
      <tableStyleElement type="firstRowStripe" dxfId="535"/>
      <tableStyleElement type="secondRowStripe" dxfId="534"/>
    </tableStyle>
    <tableStyle name="DATA_ALL-style 38" pivot="0" count="2" xr9:uid="{00000000-0011-0000-FFFF-FFFF70000000}">
      <tableStyleElement type="firstRowStripe" dxfId="533"/>
      <tableStyleElement type="secondRowStripe" dxfId="532"/>
    </tableStyle>
    <tableStyle name="DATA_ALL-style 39" pivot="0" count="2" xr9:uid="{00000000-0011-0000-FFFF-FFFF71000000}">
      <tableStyleElement type="firstRowStripe" dxfId="531"/>
      <tableStyleElement type="secondRowStripe" dxfId="530"/>
    </tableStyle>
    <tableStyle name="DATA_ALL-style 40" pivot="0" count="2" xr9:uid="{00000000-0011-0000-FFFF-FFFF72000000}">
      <tableStyleElement type="firstRowStripe" dxfId="529"/>
      <tableStyleElement type="secondRowStripe" dxfId="528"/>
    </tableStyle>
    <tableStyle name="DATA_ALL-style 41" pivot="0" count="2" xr9:uid="{00000000-0011-0000-FFFF-FFFF73000000}">
      <tableStyleElement type="firstRowStripe" dxfId="527"/>
      <tableStyleElement type="secondRowStripe" dxfId="526"/>
    </tableStyle>
    <tableStyle name="DATA_ALL-style 42" pivot="0" count="2" xr9:uid="{00000000-0011-0000-FFFF-FFFF74000000}">
      <tableStyleElement type="firstRowStripe" dxfId="525"/>
      <tableStyleElement type="secondRowStripe" dxfId="524"/>
    </tableStyle>
    <tableStyle name="DATA_ALL-style 43" pivot="0" count="2" xr9:uid="{00000000-0011-0000-FFFF-FFFF75000000}">
      <tableStyleElement type="firstRowStripe" dxfId="523"/>
      <tableStyleElement type="secondRowStripe" dxfId="522"/>
    </tableStyle>
    <tableStyle name="DATA_ALL-style 44" pivot="0" count="2" xr9:uid="{00000000-0011-0000-FFFF-FFFF76000000}">
      <tableStyleElement type="firstRowStripe" dxfId="521"/>
      <tableStyleElement type="secondRowStripe" dxfId="520"/>
    </tableStyle>
    <tableStyle name="DATA_ALL-style 45" pivot="0" count="2" xr9:uid="{00000000-0011-0000-FFFF-FFFF77000000}">
      <tableStyleElement type="firstRowStripe" dxfId="519"/>
      <tableStyleElement type="secondRowStripe" dxfId="518"/>
    </tableStyle>
    <tableStyle name="DATA_ALL-style 46" pivot="0" count="2" xr9:uid="{00000000-0011-0000-FFFF-FFFF78000000}">
      <tableStyleElement type="firstRowStripe" dxfId="517"/>
      <tableStyleElement type="secondRowStripe" dxfId="516"/>
    </tableStyle>
    <tableStyle name="DATA_DRAFT (EVALUATION)-style" pivot="0" count="4" xr9:uid="{00000000-0011-0000-FFFF-FFFF79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7A000000}">
      <tableStyleElement type="firstRowStripe" dxfId="511"/>
      <tableStyleElement type="secondRowStripe" dxfId="510"/>
    </tableStyle>
    <tableStyle name="DATA_DRAFT (EVALUATION)-style 3" pivot="0" count="2" xr9:uid="{00000000-0011-0000-FFFF-FFFF7B000000}">
      <tableStyleElement type="firstRowStripe" dxfId="509"/>
      <tableStyleElement type="secondRowStripe" dxfId="508"/>
    </tableStyle>
    <tableStyle name="DATA_DRAFT (EVALUATION)-style 4" pivot="0" count="2" xr9:uid="{00000000-0011-0000-FFFF-FFFF7C000000}">
      <tableStyleElement type="firstRowStripe" dxfId="507"/>
      <tableStyleElement type="secondRowStripe" dxfId="506"/>
    </tableStyle>
    <tableStyle name="DATA_DRAFT (EVALUATION)-style 5" pivot="0" count="2" xr9:uid="{00000000-0011-0000-FFFF-FFFF7D000000}">
      <tableStyleElement type="firstRowStripe" dxfId="505"/>
      <tableStyleElement type="secondRowStripe" dxfId="504"/>
    </tableStyle>
    <tableStyle name="DATA_DRAFT (EVALUATION)-style 6" pivot="0" count="2" xr9:uid="{00000000-0011-0000-FFFF-FFFF7E000000}">
      <tableStyleElement type="firstRowStripe" dxfId="503"/>
      <tableStyleElement type="secondRowStripe" dxfId="502"/>
    </tableStyle>
    <tableStyle name="DATA_DRAFT (EVALUATION)-style 7" pivot="0" count="2" xr9:uid="{00000000-0011-0000-FFFF-FFFF7F000000}">
      <tableStyleElement type="firstRowStripe" dxfId="501"/>
      <tableStyleElement type="secondRowStripe" dxfId="500"/>
    </tableStyle>
    <tableStyle name="DATA_DRAFT (EVALUATION)-style 8" pivot="0" count="2" xr9:uid="{00000000-0011-0000-FFFF-FFFF80000000}">
      <tableStyleElement type="firstRowStripe" dxfId="499"/>
      <tableStyleElement type="secondRowStripe" dxfId="498"/>
    </tableStyle>
    <tableStyle name="DATA_DRAFT (EVALUATION)-style 9" pivot="0" count="2" xr9:uid="{00000000-0011-0000-FFFF-FFFF81000000}">
      <tableStyleElement type="firstRowStripe" dxfId="497"/>
      <tableStyleElement type="secondRowStripe" dxfId="496"/>
    </tableStyle>
    <tableStyle name="DATA_DRAFT (EVALUATION)-style 10" pivot="0" count="2" xr9:uid="{00000000-0011-0000-FFFF-FFFF82000000}">
      <tableStyleElement type="firstRowStripe" dxfId="495"/>
      <tableStyleElement type="secondRowStripe" dxfId="494"/>
    </tableStyle>
    <tableStyle name="DATA_DRAFT (EVALUATION)-style 11" pivot="0" count="2" xr9:uid="{00000000-0011-0000-FFFF-FFFF83000000}">
      <tableStyleElement type="firstRowStripe" dxfId="493"/>
      <tableStyleElement type="secondRowStripe" dxfId="492"/>
    </tableStyle>
    <tableStyle name="DATA_DRAFT (EVALUATION)-style 12" pivot="0" count="2" xr9:uid="{00000000-0011-0000-FFFF-FFFF84000000}">
      <tableStyleElement type="firstRowStripe" dxfId="491"/>
      <tableStyleElement type="secondRowStripe" dxfId="490"/>
    </tableStyle>
    <tableStyle name="DATA_DRAFT (EVALUATION)-style 13" pivot="0" count="2" xr9:uid="{00000000-0011-0000-FFFF-FFFF85000000}">
      <tableStyleElement type="firstRowStripe" dxfId="489"/>
      <tableStyleElement type="secondRowStripe" dxfId="488"/>
    </tableStyle>
    <tableStyle name="DATA_DRAFT (EVALUATION)-style 14" pivot="0" count="2" xr9:uid="{00000000-0011-0000-FFFF-FFFF86000000}">
      <tableStyleElement type="firstRowStripe" dxfId="487"/>
      <tableStyleElement type="secondRowStripe" dxfId="486"/>
    </tableStyle>
    <tableStyle name="DATA_DRAFT (EVALUATION)-style 15" pivot="0" count="2" xr9:uid="{00000000-0011-0000-FFFF-FFFF87000000}">
      <tableStyleElement type="firstRowStripe" dxfId="485"/>
      <tableStyleElement type="secondRowStripe" dxfId="484"/>
    </tableStyle>
    <tableStyle name="DATA_DRAFT (EVALUATION)-style 16" pivot="0" count="2" xr9:uid="{00000000-0011-0000-FFFF-FFFF88000000}">
      <tableStyleElement type="firstRowStripe" dxfId="483"/>
      <tableStyleElement type="secondRowStripe" dxfId="482"/>
    </tableStyle>
    <tableStyle name="DATA_DRAFT (EVALUATION)-style 17" pivot="0" count="2" xr9:uid="{00000000-0011-0000-FFFF-FFFF89000000}">
      <tableStyleElement type="firstRowStripe" dxfId="481"/>
      <tableStyleElement type="secondRowStripe" dxfId="480"/>
    </tableStyle>
    <tableStyle name="DATA_DRAFT (EVALUATION)-style 18" pivot="0" count="2" xr9:uid="{00000000-0011-0000-FFFF-FFFF8A000000}">
      <tableStyleElement type="firstRowStripe" dxfId="479"/>
      <tableStyleElement type="secondRowStripe" dxfId="478"/>
    </tableStyle>
    <tableStyle name="DATA_DRAFT (EVALUATION)-style 19" pivot="0" count="2" xr9:uid="{00000000-0011-0000-FFFF-FFFF8B000000}">
      <tableStyleElement type="firstRowStripe" dxfId="477"/>
      <tableStyleElement type="secondRowStripe" dxfId="476"/>
    </tableStyle>
    <tableStyle name="DATA_DRAFT (EVALUATION)-style 20" pivot="0" count="2" xr9:uid="{00000000-0011-0000-FFFF-FFFF8C000000}">
      <tableStyleElement type="firstRowStripe" dxfId="475"/>
      <tableStyleElement type="secondRowStripe" dxfId="474"/>
    </tableStyle>
    <tableStyle name="DATA_DRAFT (EVALUATION)-style 21" pivot="0" count="2" xr9:uid="{00000000-0011-0000-FFFF-FFFF8D000000}">
      <tableStyleElement type="firstRowStripe" dxfId="473"/>
      <tableStyleElement type="secondRowStripe" dxfId="472"/>
    </tableStyle>
    <tableStyle name="DATA_DRAFT (EVALUATION)-style 22" pivot="0" count="2" xr9:uid="{00000000-0011-0000-FFFF-FFFF8E000000}">
      <tableStyleElement type="firstRowStripe" dxfId="471"/>
      <tableStyleElement type="secondRowStripe" dxfId="470"/>
    </tableStyle>
    <tableStyle name="DATA_DRAFT (EVALUATION)-style 23" pivot="0" count="2" xr9:uid="{00000000-0011-0000-FFFF-FFFF8F000000}">
      <tableStyleElement type="firstRowStripe" dxfId="469"/>
      <tableStyleElement type="secondRowStripe" dxfId="468"/>
    </tableStyle>
    <tableStyle name="DATA_DRAFT (EVALUATION)-style 24" pivot="0" count="2" xr9:uid="{00000000-0011-0000-FFFF-FFFF90000000}">
      <tableStyleElement type="firstRowStripe" dxfId="467"/>
      <tableStyleElement type="secondRowStripe" dxfId="466"/>
    </tableStyle>
    <tableStyle name="DATA_DRAFT (EVALUATION)-style 25" pivot="0" count="2" xr9:uid="{00000000-0011-0000-FFFF-FFFF91000000}">
      <tableStyleElement type="firstRowStripe" dxfId="465"/>
      <tableStyleElement type="secondRowStripe" dxfId="464"/>
    </tableStyle>
    <tableStyle name="DATA_DRAFT (EVALUATION)-style 26" pivot="0" count="2" xr9:uid="{00000000-0011-0000-FFFF-FFFF92000000}">
      <tableStyleElement type="firstRowStripe" dxfId="463"/>
      <tableStyleElement type="secondRowStripe" dxfId="462"/>
    </tableStyle>
    <tableStyle name="DATA_DRAFT (EVALUATION)-style 27" pivot="0" count="2" xr9:uid="{00000000-0011-0000-FFFF-FFFF93000000}">
      <tableStyleElement type="firstRowStripe" dxfId="461"/>
      <tableStyleElement type="secondRowStripe" dxfId="460"/>
    </tableStyle>
    <tableStyle name="DATA_DRAFT (EVALUATION)-style 28" pivot="0" count="2" xr9:uid="{00000000-0011-0000-FFFF-FFFF94000000}">
      <tableStyleElement type="firstRowStripe" dxfId="459"/>
      <tableStyleElement type="secondRowStripe" dxfId="458"/>
    </tableStyle>
    <tableStyle name="DATA_DRAFT (EVALUATION)-style 29" pivot="0" count="2" xr9:uid="{00000000-0011-0000-FFFF-FFFF95000000}">
      <tableStyleElement type="firstRowStripe" dxfId="457"/>
      <tableStyleElement type="secondRowStripe" dxfId="456"/>
    </tableStyle>
    <tableStyle name="DATA_DRAFT (EVALUATION)-style 30" pivot="0" count="2" xr9:uid="{00000000-0011-0000-FFFF-FFFF96000000}">
      <tableStyleElement type="firstRowStripe" dxfId="455"/>
      <tableStyleElement type="secondRowStripe" dxfId="454"/>
    </tableStyle>
    <tableStyle name="DATA_DRAFT (EVALUATION)-style 31" pivot="0" count="2" xr9:uid="{00000000-0011-0000-FFFF-FFFF97000000}">
      <tableStyleElement type="firstRowStripe" dxfId="453"/>
      <tableStyleElement type="secondRowStripe" dxfId="452"/>
    </tableStyle>
    <tableStyle name="DATA_DRAFT (EVALUATION)-style 32" pivot="0" count="2" xr9:uid="{00000000-0011-0000-FFFF-FFFF98000000}">
      <tableStyleElement type="firstRowStripe" dxfId="451"/>
      <tableStyleElement type="secondRowStripe" dxfId="450"/>
    </tableStyle>
    <tableStyle name="DATA_DRAFT (EVALUATION)-style 33" pivot="0" count="2" xr9:uid="{00000000-0011-0000-FFFF-FFFF99000000}">
      <tableStyleElement type="firstRowStripe" dxfId="449"/>
      <tableStyleElement type="secondRowStripe" dxfId="448"/>
    </tableStyle>
    <tableStyle name="DATA_DRAFT (EVALUATION)-style 34" pivot="0" count="2" xr9:uid="{00000000-0011-0000-FFFF-FFFF9A000000}">
      <tableStyleElement type="firstRowStripe" dxfId="447"/>
      <tableStyleElement type="secondRowStripe" dxfId="446"/>
    </tableStyle>
    <tableStyle name="DATA_DRAFT (EVALUATION)-style 35" pivot="0" count="2" xr9:uid="{00000000-0011-0000-FFFF-FFFF9B000000}">
      <tableStyleElement type="firstRowStripe" dxfId="445"/>
      <tableStyleElement type="secondRowStripe" dxfId="444"/>
    </tableStyle>
    <tableStyle name="DATA_DRAFT (EVALUATION)-style 36" pivot="0" count="2" xr9:uid="{00000000-0011-0000-FFFF-FFFF9C000000}">
      <tableStyleElement type="firstRowStripe" dxfId="443"/>
      <tableStyleElement type="secondRowStripe" dxfId="442"/>
    </tableStyle>
    <tableStyle name="DATA_DRAFT (EVALUATION)-style 37" pivot="0" count="2" xr9:uid="{00000000-0011-0000-FFFF-FFFF9D000000}">
      <tableStyleElement type="firstRowStripe" dxfId="441"/>
      <tableStyleElement type="secondRowStripe" dxfId="440"/>
    </tableStyle>
    <tableStyle name="DATA_DRAFT (EVALUATION)-style 38" pivot="0" count="2" xr9:uid="{00000000-0011-0000-FFFF-FFFF9E000000}">
      <tableStyleElement type="firstRowStripe" dxfId="439"/>
      <tableStyleElement type="secondRowStripe" dxfId="438"/>
    </tableStyle>
    <tableStyle name="DATA_DRAFT (EVALUATION)-style 39" pivot="0" count="2" xr9:uid="{00000000-0011-0000-FFFF-FFFF9F000000}">
      <tableStyleElement type="firstRowStripe" dxfId="437"/>
      <tableStyleElement type="secondRowStripe" dxfId="436"/>
    </tableStyle>
    <tableStyle name="DATA_DRAFT (EVALUATION)-style 40" pivot="0" count="2" xr9:uid="{00000000-0011-0000-FFFF-FFFFA0000000}">
      <tableStyleElement type="firstRowStripe" dxfId="435"/>
      <tableStyleElement type="secondRowStripe" dxfId="434"/>
    </tableStyle>
    <tableStyle name="DATA_DRAFT (EVALUATION)-style 41" pivot="0" count="2" xr9:uid="{00000000-0011-0000-FFFF-FFFFA1000000}">
      <tableStyleElement type="firstRowStripe" dxfId="433"/>
      <tableStyleElement type="secondRowStripe" dxfId="432"/>
    </tableStyle>
    <tableStyle name="DATA_DRAFT (EVALUATION)-style 42" pivot="0" count="2" xr9:uid="{00000000-0011-0000-FFFF-FFFFA2000000}">
      <tableStyleElement type="firstRowStripe" dxfId="431"/>
      <tableStyleElement type="secondRowStripe" dxfId="430"/>
    </tableStyle>
    <tableStyle name="DATA_DRAFT (EVALUATION)-style 43" pivot="0" count="2" xr9:uid="{00000000-0011-0000-FFFF-FFFFA3000000}">
      <tableStyleElement type="firstRowStripe" dxfId="429"/>
      <tableStyleElement type="secondRowStripe" dxfId="428"/>
    </tableStyle>
    <tableStyle name="DATA_DRAFT (EVALUATION)-style 44" pivot="0" count="2" xr9:uid="{00000000-0011-0000-FFFF-FFFFA4000000}">
      <tableStyleElement type="firstRowStripe" dxfId="427"/>
      <tableStyleElement type="secondRowStripe" dxfId="426"/>
    </tableStyle>
    <tableStyle name="DATA_DRAFT (EVALUATION)-style 45" pivot="0" count="2" xr9:uid="{00000000-0011-0000-FFFF-FFFFA5000000}">
      <tableStyleElement type="firstRowStripe" dxfId="425"/>
      <tableStyleElement type="secondRowStripe" dxfId="424"/>
    </tableStyle>
    <tableStyle name="DATA_DRAFT (EVALUATION)-style 46" pivot="0" count="2" xr9:uid="{00000000-0011-0000-FFFF-FFFFA6000000}">
      <tableStyleElement type="firstRowStripe" dxfId="423"/>
      <tableStyleElement type="secondRowStripe" dxfId="422"/>
    </tableStyle>
    <tableStyle name="DATA_DRAFT (EVALUATION)-style 47" pivot="0" count="2" xr9:uid="{00000000-0011-0000-FFFF-FFFFA7000000}">
      <tableStyleElement type="firstRowStripe" dxfId="421"/>
      <tableStyleElement type="secondRowStripe" dxfId="420"/>
    </tableStyle>
    <tableStyle name="DATA_DRAFT (EVALUATION)-style 48" pivot="0" count="2" xr9:uid="{00000000-0011-0000-FFFF-FFFFA8000000}">
      <tableStyleElement type="firstRowStripe" dxfId="419"/>
      <tableStyleElement type="secondRowStripe" dxfId="418"/>
    </tableStyle>
    <tableStyle name="DATA_DRAFT (EVALUATION)-style 49" pivot="0" count="2" xr9:uid="{00000000-0011-0000-FFFF-FFFFA9000000}">
      <tableStyleElement type="firstRowStripe" dxfId="417"/>
      <tableStyleElement type="secondRowStripe" dxfId="416"/>
    </tableStyle>
    <tableStyle name="DATA_DRAFT (EVALUATION)-style 50" pivot="0" count="2" xr9:uid="{00000000-0011-0000-FFFF-FFFFAA000000}">
      <tableStyleElement type="firstRowStripe" dxfId="415"/>
      <tableStyleElement type="secondRowStripe" dxfId="414"/>
    </tableStyle>
    <tableStyle name="DATA_DRAFT (EVALUATION)-style 51" pivot="0" count="2" xr9:uid="{00000000-0011-0000-FFFF-FFFFAB000000}">
      <tableStyleElement type="firstRowStripe" dxfId="413"/>
      <tableStyleElement type="secondRowStripe" dxfId="412"/>
    </tableStyle>
    <tableStyle name="DATA_DRAFT (EVALUATION)-style 52" pivot="0" count="2" xr9:uid="{00000000-0011-0000-FFFF-FFFFAC000000}">
      <tableStyleElement type="firstRowStripe" dxfId="411"/>
      <tableStyleElement type="secondRowStripe" dxfId="410"/>
    </tableStyle>
    <tableStyle name="DATA_DRAFT (EVALUATION)-style 53" pivot="0" count="2" xr9:uid="{00000000-0011-0000-FFFF-FFFFAD000000}">
      <tableStyleElement type="firstRowStripe" dxfId="409"/>
      <tableStyleElement type="secondRowStripe" dxfId="408"/>
    </tableStyle>
    <tableStyle name="DATA_DRAFT (EVALUATION)-style 54" pivot="0" count="2" xr9:uid="{00000000-0011-0000-FFFF-FFFFAE000000}">
      <tableStyleElement type="firstRowStripe" dxfId="407"/>
      <tableStyleElement type="secondRowStripe" dxfId="406"/>
    </tableStyle>
    <tableStyle name="DATA_DRAFT (EVALUATION)-style 55" pivot="0" count="2" xr9:uid="{00000000-0011-0000-FFFF-FFFFAF000000}">
      <tableStyleElement type="firstRowStripe" dxfId="405"/>
      <tableStyleElement type="secondRowStripe" dxfId="404"/>
    </tableStyle>
    <tableStyle name="DATA_DRAFT (EVALUATION)-style 56" pivot="0" count="2" xr9:uid="{00000000-0011-0000-FFFF-FFFFB0000000}">
      <tableStyleElement type="firstRowStripe" dxfId="403"/>
      <tableStyleElement type="secondRowStripe" dxfId="402"/>
    </tableStyle>
    <tableStyle name="DATA_DRAFT (EVALUATION)-style 57" pivot="0" count="2" xr9:uid="{00000000-0011-0000-FFFF-FFFFB1000000}">
      <tableStyleElement type="firstRowStripe" dxfId="401"/>
      <tableStyleElement type="secondRowStripe" dxfId="400"/>
    </tableStyle>
    <tableStyle name="DATA_DRAFT (EVALUATION)-style 58" pivot="0" count="2" xr9:uid="{00000000-0011-0000-FFFF-FFFFB2000000}">
      <tableStyleElement type="firstRowStripe" dxfId="399"/>
      <tableStyleElement type="secondRowStripe" dxfId="398"/>
    </tableStyle>
    <tableStyle name="DATA_DRAFT (EVALUATION)-style 59" pivot="0" count="2" xr9:uid="{00000000-0011-0000-FFFF-FFFFB3000000}">
      <tableStyleElement type="firstRowStripe" dxfId="397"/>
      <tableStyleElement type="secondRowStripe" dxfId="396"/>
    </tableStyle>
    <tableStyle name="DATA_DRAFT (EVALUATION)-style 60" pivot="0" count="2" xr9:uid="{00000000-0011-0000-FFFF-FFFFB4000000}">
      <tableStyleElement type="firstRowStripe" dxfId="395"/>
      <tableStyleElement type="secondRowStripe" dxfId="394"/>
    </tableStyle>
    <tableStyle name="DATA_DRAFT (EVALUATION)-style 61" pivot="0" count="2" xr9:uid="{00000000-0011-0000-FFFF-FFFFB5000000}">
      <tableStyleElement type="firstRowStripe" dxfId="393"/>
      <tableStyleElement type="secondRowStripe" dxfId="392"/>
    </tableStyle>
    <tableStyle name="DATA_DRAFT (EVALUATION)-style 62" pivot="0" count="2" xr9:uid="{00000000-0011-0000-FFFF-FFFFB6000000}">
      <tableStyleElement type="firstRowStripe" dxfId="391"/>
      <tableStyleElement type="secondRowStripe" dxfId="390"/>
    </tableStyle>
    <tableStyle name="DATA_DRAFT (EVALUATION)-style 63" pivot="0" count="2" xr9:uid="{00000000-0011-0000-FFFF-FFFFB7000000}">
      <tableStyleElement type="firstRowStripe" dxfId="389"/>
      <tableStyleElement type="secondRowStripe" dxfId="388"/>
    </tableStyle>
    <tableStyle name="DATA_DRAFT (EVALUATION)-style 64" pivot="0" count="2" xr9:uid="{00000000-0011-0000-FFFF-FFFFB8000000}">
      <tableStyleElement type="firstRowStripe" dxfId="387"/>
      <tableStyleElement type="secondRowStripe" dxfId="386"/>
    </tableStyle>
    <tableStyle name="DATA_DRAFT (EVALUATION)-style 65" pivot="0" count="2" xr9:uid="{00000000-0011-0000-FFFF-FFFFB9000000}">
      <tableStyleElement type="firstRowStripe" dxfId="385"/>
      <tableStyleElement type="secondRowStripe" dxfId="384"/>
    </tableStyle>
    <tableStyle name="DATA_DRAFT (EVALUATION)-style 66" pivot="0" count="2" xr9:uid="{00000000-0011-0000-FFFF-FFFFBA000000}">
      <tableStyleElement type="firstRowStripe" dxfId="383"/>
      <tableStyleElement type="secondRowStripe" dxfId="382"/>
    </tableStyle>
    <tableStyle name="DATA_DRAFT (EVALUATION)-style 67" pivot="0" count="2" xr9:uid="{00000000-0011-0000-FFFF-FFFFBB000000}">
      <tableStyleElement type="firstRowStripe" dxfId="381"/>
      <tableStyleElement type="secondRowStripe" dxfId="380"/>
    </tableStyle>
    <tableStyle name="DATA_DRAFT (EVALUATION)-style 68" pivot="0" count="2" xr9:uid="{00000000-0011-0000-FFFF-FFFFBC000000}">
      <tableStyleElement type="firstRowStripe" dxfId="379"/>
      <tableStyleElement type="secondRowStripe" dxfId="378"/>
    </tableStyle>
    <tableStyle name="DATA_DRAFT (EVALUATION)-style 69" pivot="0" count="2" xr9:uid="{00000000-0011-0000-FFFF-FFFFBD000000}">
      <tableStyleElement type="firstRowStripe" dxfId="377"/>
      <tableStyleElement type="secondRowStripe" dxfId="376"/>
    </tableStyle>
    <tableStyle name="DATA_DRAFT (EVALUATION)-style 70" pivot="0" count="2" xr9:uid="{00000000-0011-0000-FFFF-FFFFBE000000}">
      <tableStyleElement type="firstRowStripe" dxfId="375"/>
      <tableStyleElement type="secondRowStripe" dxfId="374"/>
    </tableStyle>
    <tableStyle name="DATA_DRAFT (EVALUATION)-style 71" pivot="0" count="2" xr9:uid="{00000000-0011-0000-FFFF-FFFFBF000000}">
      <tableStyleElement type="firstRowStripe" dxfId="373"/>
      <tableStyleElement type="secondRowStripe" dxfId="372"/>
    </tableStyle>
    <tableStyle name="DATA_DRAFT (EVALUATION)-style 72" pivot="0" count="2" xr9:uid="{00000000-0011-0000-FFFF-FFFFC0000000}">
      <tableStyleElement type="firstRowStripe" dxfId="371"/>
      <tableStyleElement type="secondRowStripe" dxfId="370"/>
    </tableStyle>
    <tableStyle name="DATA_DRAFT (EVALUATION)-style 73" pivot="0" count="2" xr9:uid="{00000000-0011-0000-FFFF-FFFFC1000000}">
      <tableStyleElement type="firstRowStripe" dxfId="369"/>
      <tableStyleElement type="secondRowStripe" dxfId="368"/>
    </tableStyle>
    <tableStyle name="DATA_DRAFT (EVALUATION)-style 74" pivot="0" count="2" xr9:uid="{00000000-0011-0000-FFFF-FFFFC2000000}">
      <tableStyleElement type="firstRowStripe" dxfId="367"/>
      <tableStyleElement type="secondRowStripe" dxfId="366"/>
    </tableStyle>
    <tableStyle name="DATA_DRAFT (EVALUATION)-style 75" pivot="0" count="2" xr9:uid="{00000000-0011-0000-FFFF-FFFFC3000000}">
      <tableStyleElement type="firstRowStripe" dxfId="365"/>
      <tableStyleElement type="secondRowStripe" dxfId="364"/>
    </tableStyle>
    <tableStyle name="DATA_DRAFT (EVALUATION)-style 76" pivot="0" count="2" xr9:uid="{00000000-0011-0000-FFFF-FFFFC4000000}">
      <tableStyleElement type="firstRowStripe" dxfId="363"/>
      <tableStyleElement type="secondRowStripe" dxfId="362"/>
    </tableStyle>
    <tableStyle name="DATA_DRAFT (EVALUATION)-style 77" pivot="0" count="2" xr9:uid="{00000000-0011-0000-FFFF-FFFFC5000000}">
      <tableStyleElement type="firstRowStripe" dxfId="361"/>
      <tableStyleElement type="secondRowStripe" dxfId="360"/>
    </tableStyle>
    <tableStyle name="DATA_DRAFT (EVALUATION)-style 78" pivot="0" count="2" xr9:uid="{00000000-0011-0000-FFFF-FFFFC6000000}">
      <tableStyleElement type="firstRowStripe" dxfId="359"/>
      <tableStyleElement type="secondRowStripe" dxfId="358"/>
    </tableStyle>
    <tableStyle name="DATA_DRAFT (EVALUATION)-style 79" pivot="0" count="2" xr9:uid="{00000000-0011-0000-FFFF-FFFFC7000000}">
      <tableStyleElement type="firstRowStripe" dxfId="357"/>
      <tableStyleElement type="secondRowStripe" dxfId="356"/>
    </tableStyle>
    <tableStyle name="DATA_DRAFT (EVALUATION)-style 80" pivot="0" count="2" xr9:uid="{00000000-0011-0000-FFFF-FFFFC8000000}">
      <tableStyleElement type="firstRowStripe" dxfId="355"/>
      <tableStyleElement type="secondRowStripe" dxfId="354"/>
    </tableStyle>
    <tableStyle name="DATA_DRAFT (EVALUATION)-style 81" pivot="0" count="2" xr9:uid="{00000000-0011-0000-FFFF-FFFFC9000000}">
      <tableStyleElement type="firstRowStripe" dxfId="353"/>
      <tableStyleElement type="secondRowStripe" dxfId="352"/>
    </tableStyle>
    <tableStyle name="DATA_DRAFT (EVALUATION)-style 82" pivot="0" count="2" xr9:uid="{00000000-0011-0000-FFFF-FFFFCA000000}">
      <tableStyleElement type="firstRowStripe" dxfId="351"/>
      <tableStyleElement type="secondRowStripe" dxfId="350"/>
    </tableStyle>
    <tableStyle name="DATA_DRAFT (EVALUATION)-style 83" pivot="0" count="2" xr9:uid="{00000000-0011-0000-FFFF-FFFFCB000000}">
      <tableStyleElement type="firstRowStripe" dxfId="349"/>
      <tableStyleElement type="secondRowStripe" dxfId="348"/>
    </tableStyle>
    <tableStyle name="DATA_DRAFT (EVALUATION)-style 84" pivot="0" count="2" xr9:uid="{00000000-0011-0000-FFFF-FFFFCC000000}">
      <tableStyleElement type="firstRowStripe" dxfId="347"/>
      <tableStyleElement type="secondRowStripe" dxfId="346"/>
    </tableStyle>
    <tableStyle name="DATA_DRAFT (EVALUATION)-style 85" pivot="0" count="2" xr9:uid="{00000000-0011-0000-FFFF-FFFFCD000000}">
      <tableStyleElement type="firstRowStripe" dxfId="345"/>
      <tableStyleElement type="secondRowStripe" dxfId="344"/>
    </tableStyle>
    <tableStyle name="DATA_DRAFT (EVALUATION)-style 86" pivot="0" count="2" xr9:uid="{00000000-0011-0000-FFFF-FFFFCE000000}">
      <tableStyleElement type="firstRowStripe" dxfId="343"/>
      <tableStyleElement type="secondRowStripe" dxfId="342"/>
    </tableStyle>
    <tableStyle name="DATA_DRAFT (EVALUATION)-style 87" pivot="0" count="2" xr9:uid="{00000000-0011-0000-FFFF-FFFFCF000000}">
      <tableStyleElement type="firstRowStripe" dxfId="341"/>
      <tableStyleElement type="secondRowStripe" dxfId="340"/>
    </tableStyle>
    <tableStyle name="DATA_DRAFT (EVALUATION)-style 88" pivot="0" count="2" xr9:uid="{00000000-0011-0000-FFFF-FFFFD0000000}">
      <tableStyleElement type="firstRowStripe" dxfId="339"/>
      <tableStyleElement type="secondRowStripe" dxfId="338"/>
    </tableStyle>
    <tableStyle name="DATA_DRAFT (EVALUATION)-style 89" pivot="0" count="2" xr9:uid="{00000000-0011-0000-FFFF-FFFFD1000000}">
      <tableStyleElement type="firstRowStripe" dxfId="337"/>
      <tableStyleElement type="secondRowStripe" dxfId="336"/>
    </tableStyle>
    <tableStyle name="DATA_DRAFT (EVALUATION)-style 90" pivot="0" count="2" xr9:uid="{00000000-0011-0000-FFFF-FFFFD2000000}">
      <tableStyleElement type="firstRowStripe" dxfId="335"/>
      <tableStyleElement type="secondRowStripe" dxfId="334"/>
    </tableStyle>
    <tableStyle name="DATA_DRAFT (EVALUATION)-style 91" pivot="0" count="2" xr9:uid="{00000000-0011-0000-FFFF-FFFFD3000000}">
      <tableStyleElement type="firstRowStripe" dxfId="333"/>
      <tableStyleElement type="secondRowStripe" dxfId="332"/>
    </tableStyle>
    <tableStyle name="DATA_DRAFT (EVALUATION)-style 92" pivot="0" count="2" xr9:uid="{00000000-0011-0000-FFFF-FFFFD4000000}">
      <tableStyleElement type="firstRowStripe" dxfId="331"/>
      <tableStyleElement type="secondRowStripe" dxfId="330"/>
    </tableStyle>
    <tableStyle name="DATA_DRAFT (EVALUATION)-style 93" pivot="0" count="2" xr9:uid="{00000000-0011-0000-FFFF-FFFFD5000000}">
      <tableStyleElement type="firstRowStripe" dxfId="329"/>
      <tableStyleElement type="secondRowStripe" dxfId="328"/>
    </tableStyle>
    <tableStyle name="DATA_DRAFT (EVALUATION)-style 94" pivot="0" count="2" xr9:uid="{00000000-0011-0000-FFFF-FFFFD6000000}">
      <tableStyleElement type="firstRowStripe" dxfId="327"/>
      <tableStyleElement type="secondRowStripe" dxfId="326"/>
    </tableStyle>
    <tableStyle name="DATA_DRAFT (EVALUATION)-style 95" pivot="0" count="2" xr9:uid="{00000000-0011-0000-FFFF-FFFFD7000000}">
      <tableStyleElement type="firstRowStripe" dxfId="325"/>
      <tableStyleElement type="secondRowStripe" dxfId="324"/>
    </tableStyle>
    <tableStyle name="DATA_DRAFT (EVALUATION)-style 96" pivot="0" count="2" xr9:uid="{00000000-0011-0000-FFFF-FFFFD8000000}">
      <tableStyleElement type="firstRowStripe" dxfId="323"/>
      <tableStyleElement type="secondRowStripe" dxfId="322"/>
    </tableStyle>
    <tableStyle name="DATA_DRAFT (EVALUATION)-style 97" pivot="0" count="2" xr9:uid="{00000000-0011-0000-FFFF-FFFFD9000000}">
      <tableStyleElement type="firstRowStripe" dxfId="321"/>
      <tableStyleElement type="secondRowStripe" dxfId="320"/>
    </tableStyle>
    <tableStyle name="DATA_DRAFT (EVALUATION)-style 98" pivot="0" count="2" xr9:uid="{00000000-0011-0000-FFFF-FFFFDA000000}">
      <tableStyleElement type="firstRowStripe" dxfId="319"/>
      <tableStyleElement type="secondRowStripe" dxfId="318"/>
    </tableStyle>
    <tableStyle name="DATA_DRAFT (EVALUATION)-style 99" pivot="0" count="2" xr9:uid="{00000000-0011-0000-FFFF-FFFFDB000000}">
      <tableStyleElement type="firstRowStripe" dxfId="317"/>
      <tableStyleElement type="secondRowStripe" dxfId="316"/>
    </tableStyle>
    <tableStyle name="DATA_DRAFT (EVALUATION)-style 100" pivot="0" count="2" xr9:uid="{00000000-0011-0000-FFFF-FFFFDC000000}">
      <tableStyleElement type="firstRowStripe" dxfId="315"/>
      <tableStyleElement type="secondRowStripe" dxfId="314"/>
    </tableStyle>
    <tableStyle name="DATA_DRAFT (EVALUATION)-style 101" pivot="0" count="2" xr9:uid="{00000000-0011-0000-FFFF-FFFFDD000000}">
      <tableStyleElement type="firstRowStripe" dxfId="313"/>
      <tableStyleElement type="secondRowStripe" dxfId="312"/>
    </tableStyle>
    <tableStyle name="DATA_DRAFT (EVALUATION)-style 102" pivot="0" count="2" xr9:uid="{00000000-0011-0000-FFFF-FFFFDE000000}">
      <tableStyleElement type="firstRowStripe" dxfId="311"/>
      <tableStyleElement type="secondRowStripe" dxfId="310"/>
    </tableStyle>
    <tableStyle name="DATA_DRAFT (EVALUATION)-style 103" pivot="0" count="2" xr9:uid="{00000000-0011-0000-FFFF-FFFFDF000000}">
      <tableStyleElement type="firstRowStripe" dxfId="309"/>
      <tableStyleElement type="secondRowStripe" dxfId="308"/>
    </tableStyle>
    <tableStyle name="DATA_DRAFT (EVALUATION)-style 104" pivot="0" count="2" xr9:uid="{00000000-0011-0000-FFFF-FFFFE0000000}">
      <tableStyleElement type="firstRowStripe" dxfId="307"/>
      <tableStyleElement type="secondRowStripe" dxfId="306"/>
    </tableStyle>
    <tableStyle name="DATA_DRAFT (EVALUATION)-style 105" pivot="0" count="2" xr9:uid="{00000000-0011-0000-FFFF-FFFFE1000000}">
      <tableStyleElement type="firstRowStripe" dxfId="305"/>
      <tableStyleElement type="secondRowStripe" dxfId="304"/>
    </tableStyle>
    <tableStyle name="DATA_DRAFT (EVALUATION)-style 106" pivot="0" count="2" xr9:uid="{00000000-0011-0000-FFFF-FFFFE2000000}">
      <tableStyleElement type="firstRowStripe" dxfId="303"/>
      <tableStyleElement type="secondRowStripe" dxfId="302"/>
    </tableStyle>
    <tableStyle name="DATA_DRAFT (EVALUATION)-style 107" pivot="0" count="2" xr9:uid="{00000000-0011-0000-FFFF-FFFFE3000000}">
      <tableStyleElement type="firstRowStripe" dxfId="301"/>
      <tableStyleElement type="secondRowStripe" dxfId="300"/>
    </tableStyle>
    <tableStyle name="DATA_DRAFT (EVALUATION)-style 108" pivot="0" count="2" xr9:uid="{00000000-0011-0000-FFFF-FFFFE4000000}">
      <tableStyleElement type="firstRowStripe" dxfId="299"/>
      <tableStyleElement type="secondRowStripe" dxfId="298"/>
    </tableStyle>
    <tableStyle name="DATA_DRAFT (EVALUATION)-style 109" pivot="0" count="2" xr9:uid="{00000000-0011-0000-FFFF-FFFFE5000000}">
      <tableStyleElement type="firstRowStripe" dxfId="297"/>
      <tableStyleElement type="secondRowStripe" dxfId="296"/>
    </tableStyle>
    <tableStyle name="DATA_DRAFT (MODEL)-style" pivot="0" count="4" xr9:uid="{00000000-0011-0000-FFFF-FFFFE6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E7000000}">
      <tableStyleElement type="firstRowStripe" dxfId="291"/>
      <tableStyleElement type="secondRowStripe" dxfId="290"/>
    </tableStyle>
    <tableStyle name="DATA_DRAFT (MODEL)-style 3" pivot="0" count="2" xr9:uid="{00000000-0011-0000-FFFF-FFFFE8000000}">
      <tableStyleElement type="firstRowStripe" dxfId="289"/>
      <tableStyleElement type="secondRowStripe" dxfId="288"/>
    </tableStyle>
    <tableStyle name="DATA_DRAFT (MODEL)-style 4" pivot="0" count="2" xr9:uid="{00000000-0011-0000-FFFF-FFFFE9000000}">
      <tableStyleElement type="firstRowStripe" dxfId="287"/>
      <tableStyleElement type="secondRowStripe" dxfId="286"/>
    </tableStyle>
    <tableStyle name="DATA_DRAFT (MODEL)-style 5" pivot="0" count="2" xr9:uid="{00000000-0011-0000-FFFF-FFFFEA000000}">
      <tableStyleElement type="firstRowStripe" dxfId="285"/>
      <tableStyleElement type="secondRowStripe" dxfId="284"/>
    </tableStyle>
    <tableStyle name="DATA_DRAFT (MODEL)-style 6" pivot="0" count="2" xr9:uid="{00000000-0011-0000-FFFF-FFFFEB000000}">
      <tableStyleElement type="firstRowStripe" dxfId="283"/>
      <tableStyleElement type="secondRowStripe" dxfId="282"/>
    </tableStyle>
    <tableStyle name="DATA_DRAFT (MODEL)-style 7" pivot="0" count="2" xr9:uid="{00000000-0011-0000-FFFF-FFFFEC000000}">
      <tableStyleElement type="firstRowStripe" dxfId="281"/>
      <tableStyleElement type="secondRowStripe" dxfId="280"/>
    </tableStyle>
    <tableStyle name="DATA_DRAFT (MODEL)-style 8" pivot="0" count="2" xr9:uid="{00000000-0011-0000-FFFF-FFFFED000000}">
      <tableStyleElement type="firstRowStripe" dxfId="279"/>
      <tableStyleElement type="secondRowStripe" dxfId="278"/>
    </tableStyle>
    <tableStyle name="DATA_DRAFT (MODEL)-style 9" pivot="0" count="2" xr9:uid="{00000000-0011-0000-FFFF-FFFFEE000000}">
      <tableStyleElement type="firstRowStripe" dxfId="277"/>
      <tableStyleElement type="secondRowStripe" dxfId="276"/>
    </tableStyle>
    <tableStyle name="DATA_DRAFT (MODEL)-style 10" pivot="0" count="2" xr9:uid="{00000000-0011-0000-FFFF-FFFFEF000000}">
      <tableStyleElement type="firstRowStripe" dxfId="275"/>
      <tableStyleElement type="secondRowStripe" dxfId="274"/>
    </tableStyle>
    <tableStyle name="DATA_DRAFT (MODEL)-style 11" pivot="0" count="2" xr9:uid="{00000000-0011-0000-FFFF-FFFFF0000000}">
      <tableStyleElement type="firstRowStripe" dxfId="273"/>
      <tableStyleElement type="secondRowStripe" dxfId="272"/>
    </tableStyle>
    <tableStyle name="DATA_DRAFT (MODEL)-style 12" pivot="0" count="2" xr9:uid="{00000000-0011-0000-FFFF-FFFFF1000000}">
      <tableStyleElement type="firstRowStripe" dxfId="271"/>
      <tableStyleElement type="secondRowStripe" dxfId="270"/>
    </tableStyle>
    <tableStyle name="DATA_DRAFT (MODEL)-style 13" pivot="0" count="2" xr9:uid="{00000000-0011-0000-FFFF-FFFFF2000000}">
      <tableStyleElement type="firstRowStripe" dxfId="269"/>
      <tableStyleElement type="secondRowStripe" dxfId="268"/>
    </tableStyle>
    <tableStyle name="DATA_DRAFT (MODEL)-style 14" pivot="0" count="2" xr9:uid="{00000000-0011-0000-FFFF-FFFFF3000000}">
      <tableStyleElement type="firstRowStripe" dxfId="267"/>
      <tableStyleElement type="secondRowStripe" dxfId="266"/>
    </tableStyle>
    <tableStyle name="DATA_DRAFT (MODEL)-style 15" pivot="0" count="2" xr9:uid="{00000000-0011-0000-FFFF-FFFFF4000000}">
      <tableStyleElement type="firstRowStripe" dxfId="265"/>
      <tableStyleElement type="secondRowStripe" dxfId="264"/>
    </tableStyle>
    <tableStyle name="DATA_DRAFT (MODEL)-style 16" pivot="0" count="2" xr9:uid="{00000000-0011-0000-FFFF-FFFFF5000000}">
      <tableStyleElement type="firstRowStripe" dxfId="263"/>
      <tableStyleElement type="secondRowStripe" dxfId="262"/>
    </tableStyle>
    <tableStyle name="DATA_DRAFT (MODEL)-style 17" pivot="0" count="2" xr9:uid="{00000000-0011-0000-FFFF-FFFFF6000000}">
      <tableStyleElement type="firstRowStripe" dxfId="261"/>
      <tableStyleElement type="secondRowStripe" dxfId="260"/>
    </tableStyle>
    <tableStyle name="DATA_DRAFT (MODEL)-style 18" pivot="0" count="2" xr9:uid="{00000000-0011-0000-FFFF-FFFFF7000000}">
      <tableStyleElement type="firstRowStripe" dxfId="259"/>
      <tableStyleElement type="secondRowStripe" dxfId="258"/>
    </tableStyle>
    <tableStyle name="DATA_DRAFT (MODEL)-style 19" pivot="0" count="2" xr9:uid="{00000000-0011-0000-FFFF-FFFFF8000000}">
      <tableStyleElement type="firstRowStripe" dxfId="257"/>
      <tableStyleElement type="secondRowStripe" dxfId="256"/>
    </tableStyle>
    <tableStyle name="DATA_DRAFT (MODEL)-style 20" pivot="0" count="2" xr9:uid="{00000000-0011-0000-FFFF-FFFFF9000000}">
      <tableStyleElement type="firstRowStripe" dxfId="255"/>
      <tableStyleElement type="secondRowStripe" dxfId="254"/>
    </tableStyle>
    <tableStyle name="DATA_DRAFT (MODEL)-style 21" pivot="0" count="2" xr9:uid="{00000000-0011-0000-FFFF-FFFFFA000000}">
      <tableStyleElement type="firstRowStripe" dxfId="253"/>
      <tableStyleElement type="secondRowStripe" dxfId="252"/>
    </tableStyle>
    <tableStyle name="DATA_DRAFT (MODEL)-style 22" pivot="0" count="2" xr9:uid="{00000000-0011-0000-FFFF-FFFFFB000000}">
      <tableStyleElement type="firstRowStripe" dxfId="251"/>
      <tableStyleElement type="secondRowStripe" dxfId="250"/>
    </tableStyle>
    <tableStyle name="DATA_DRAFT (MODEL)-style 23" pivot="0" count="2" xr9:uid="{00000000-0011-0000-FFFF-FFFFFC000000}">
      <tableStyleElement type="firstRowStripe" dxfId="249"/>
      <tableStyleElement type="secondRowStripe" dxfId="248"/>
    </tableStyle>
    <tableStyle name="DATA_DRAFT (MODEL)-style 24" pivot="0" count="2" xr9:uid="{00000000-0011-0000-FFFF-FFFFFD000000}">
      <tableStyleElement type="firstRowStripe" dxfId="247"/>
      <tableStyleElement type="secondRowStripe" dxfId="246"/>
    </tableStyle>
    <tableStyle name="DATA_DRAFT (MODEL)-style 25" pivot="0" count="2" xr9:uid="{00000000-0011-0000-FFFF-FFFFFE000000}">
      <tableStyleElement type="firstRowStripe" dxfId="245"/>
      <tableStyleElement type="secondRowStripe" dxfId="244"/>
    </tableStyle>
    <tableStyle name="DATA_DRAFT (MODEL)-style 26" pivot="0" count="2" xr9:uid="{00000000-0011-0000-FFFF-FFFFFF000000}">
      <tableStyleElement type="firstRowStripe" dxfId="243"/>
      <tableStyleElement type="secondRowStripe" dxfId="242"/>
    </tableStyle>
    <tableStyle name="DATA_DRAFT (MODEL)-style 27" pivot="0" count="2" xr9:uid="{00000000-0011-0000-FFFF-FFFF00010000}">
      <tableStyleElement type="firstRowStripe" dxfId="241"/>
      <tableStyleElement type="secondRowStripe" dxfId="240"/>
    </tableStyle>
    <tableStyle name="DATA_DRAFT (MODEL)-style 28" pivot="0" count="2" xr9:uid="{00000000-0011-0000-FFFF-FFFF01010000}">
      <tableStyleElement type="firstRowStripe" dxfId="239"/>
      <tableStyleElement type="secondRowStripe" dxfId="238"/>
    </tableStyle>
    <tableStyle name="DATA_DRAFT (MODEL)-style 29" pivot="0" count="2" xr9:uid="{00000000-0011-0000-FFFF-FFFF02010000}">
      <tableStyleElement type="firstRowStripe" dxfId="237"/>
      <tableStyleElement type="secondRowStripe" dxfId="236"/>
    </tableStyle>
    <tableStyle name="DATA_DRAFT (MODEL)-style 30" pivot="0" count="2" xr9:uid="{00000000-0011-0000-FFFF-FFFF03010000}">
      <tableStyleElement type="firstRowStripe" dxfId="235"/>
      <tableStyleElement type="secondRowStripe" dxfId="234"/>
    </tableStyle>
    <tableStyle name="DATA_DRAFT (MODEL)-style 31" pivot="0" count="2" xr9:uid="{00000000-0011-0000-FFFF-FFFF04010000}">
      <tableStyleElement type="firstRowStripe" dxfId="233"/>
      <tableStyleElement type="secondRowStripe" dxfId="232"/>
    </tableStyle>
    <tableStyle name="DATA_DRAFT (MODEL)-style 32" pivot="0" count="2" xr9:uid="{00000000-0011-0000-FFFF-FFFF05010000}">
      <tableStyleElement type="firstRowStripe" dxfId="231"/>
      <tableStyleElement type="secondRowStripe" dxfId="230"/>
    </tableStyle>
    <tableStyle name="DATA_DRAFT (MODEL)-style 33" pivot="0" count="2" xr9:uid="{00000000-0011-0000-FFFF-FFFF06010000}">
      <tableStyleElement type="firstRowStripe" dxfId="229"/>
      <tableStyleElement type="secondRowStripe" dxfId="228"/>
    </tableStyle>
    <tableStyle name="DATA_DRAFT (MODEL)-style 34" pivot="0" count="2" xr9:uid="{00000000-0011-0000-FFFF-FFFF07010000}">
      <tableStyleElement type="firstRowStripe" dxfId="227"/>
      <tableStyleElement type="secondRowStripe" dxfId="226"/>
    </tableStyle>
    <tableStyle name="DATA_DRAFT (MODEL)-style 35" pivot="0" count="2" xr9:uid="{00000000-0011-0000-FFFF-FFFF08010000}">
      <tableStyleElement type="firstRowStripe" dxfId="225"/>
      <tableStyleElement type="secondRowStripe" dxfId="224"/>
    </tableStyle>
    <tableStyle name="DATA_DRAFT (MODEL)-style 36" pivot="0" count="2" xr9:uid="{00000000-0011-0000-FFFF-FFFF09010000}">
      <tableStyleElement type="firstRowStripe" dxfId="223"/>
      <tableStyleElement type="secondRowStripe" dxfId="222"/>
    </tableStyle>
    <tableStyle name="DATA_DRAFT (MODEL)-style 37" pivot="0" count="2" xr9:uid="{00000000-0011-0000-FFFF-FFFF0A010000}">
      <tableStyleElement type="firstRowStripe" dxfId="221"/>
      <tableStyleElement type="secondRowStripe" dxfId="220"/>
    </tableStyle>
    <tableStyle name="DATA_DRAFT (MODEL)-style 38" pivot="0" count="2" xr9:uid="{00000000-0011-0000-FFFF-FFFF0B010000}">
      <tableStyleElement type="firstRowStripe" dxfId="219"/>
      <tableStyleElement type="secondRowStripe" dxfId="218"/>
    </tableStyle>
    <tableStyle name="DATA_DRAFT (MODEL)-style 39" pivot="0" count="2" xr9:uid="{00000000-0011-0000-FFFF-FFFF0C010000}">
      <tableStyleElement type="firstRowStripe" dxfId="217"/>
      <tableStyleElement type="secondRowStripe" dxfId="216"/>
    </tableStyle>
    <tableStyle name="DATA_DRAFT (MODEL)-style 40" pivot="0" count="2" xr9:uid="{00000000-0011-0000-FFFF-FFFF0D010000}">
      <tableStyleElement type="firstRowStripe" dxfId="215"/>
      <tableStyleElement type="secondRowStripe" dxfId="214"/>
    </tableStyle>
    <tableStyle name="DATA_DRAFT (MODEL)-style 41" pivot="0" count="2" xr9:uid="{00000000-0011-0000-FFFF-FFFF0E010000}">
      <tableStyleElement type="firstRowStripe" dxfId="213"/>
      <tableStyleElement type="secondRowStripe" dxfId="212"/>
    </tableStyle>
    <tableStyle name="DATA_DRAFT (MODEL)-style 42" pivot="0" count="2" xr9:uid="{00000000-0011-0000-FFFF-FFFF0F010000}">
      <tableStyleElement type="firstRowStripe" dxfId="211"/>
      <tableStyleElement type="secondRowStripe" dxfId="210"/>
    </tableStyle>
    <tableStyle name="DATA_DRAFT (MODEL)-style 43" pivot="0" count="2" xr9:uid="{00000000-0011-0000-FFFF-FFFF10010000}">
      <tableStyleElement type="firstRowStripe" dxfId="209"/>
      <tableStyleElement type="secondRowStripe" dxfId="208"/>
    </tableStyle>
    <tableStyle name="DATA_DRAFT (MODEL)-style 44" pivot="0" count="2" xr9:uid="{00000000-0011-0000-FFFF-FFFF11010000}">
      <tableStyleElement type="firstRowStripe" dxfId="207"/>
      <tableStyleElement type="secondRowStripe" dxfId="206"/>
    </tableStyle>
    <tableStyle name="DATA_DRAFT (MODEL)-style 45" pivot="0" count="2" xr9:uid="{00000000-0011-0000-FFFF-FFFF12010000}">
      <tableStyleElement type="firstRowStripe" dxfId="205"/>
      <tableStyleElement type="secondRowStripe" dxfId="204"/>
    </tableStyle>
    <tableStyle name="DATA_DRAFT (MODEL)-style 46" pivot="0" count="2" xr9:uid="{00000000-0011-0000-FFFF-FFFF13010000}">
      <tableStyleElement type="firstRowStripe" dxfId="203"/>
      <tableStyleElement type="secondRowStripe" dxfId="202"/>
    </tableStyle>
    <tableStyle name="DATA_DRAFT (MODEL)-style 47" pivot="0" count="2" xr9:uid="{00000000-0011-0000-FFFF-FFFF14010000}">
      <tableStyleElement type="firstRowStripe" dxfId="201"/>
      <tableStyleElement type="secondRowStripe" dxfId="200"/>
    </tableStyle>
    <tableStyle name="DATA_DRAFT (MODEL)-style 48" pivot="0" count="2" xr9:uid="{00000000-0011-0000-FFFF-FFFF15010000}">
      <tableStyleElement type="firstRowStripe" dxfId="199"/>
      <tableStyleElement type="secondRowStripe" dxfId="198"/>
    </tableStyle>
    <tableStyle name="DATA_DRAFT (MODEL)-style 49" pivot="0" count="2" xr9:uid="{00000000-0011-0000-FFFF-FFFF16010000}">
      <tableStyleElement type="firstRowStripe" dxfId="197"/>
      <tableStyleElement type="secondRowStripe" dxfId="196"/>
    </tableStyle>
    <tableStyle name="DATA_DRAFT (MODEL)-style 50" pivot="0" count="2" xr9:uid="{00000000-0011-0000-FFFF-FFFF17010000}">
      <tableStyleElement type="firstRowStripe" dxfId="195"/>
      <tableStyleElement type="secondRowStripe" dxfId="194"/>
    </tableStyle>
    <tableStyle name="DATA_DRAFT (MODEL)-style 51" pivot="0" count="2" xr9:uid="{00000000-0011-0000-FFFF-FFFF18010000}">
      <tableStyleElement type="firstRowStripe" dxfId="193"/>
      <tableStyleElement type="secondRowStripe" dxfId="192"/>
    </tableStyle>
    <tableStyle name="DATA_DRAFT (MODEL)-style 52" pivot="0" count="2" xr9:uid="{00000000-0011-0000-FFFF-FFFF19010000}">
      <tableStyleElement type="firstRowStripe" dxfId="191"/>
      <tableStyleElement type="secondRowStripe" dxfId="190"/>
    </tableStyle>
    <tableStyle name="DATA_DRAFT (MODEL)-style 53" pivot="0" count="2" xr9:uid="{00000000-0011-0000-FFFF-FFFF1A010000}">
      <tableStyleElement type="firstRowStripe" dxfId="189"/>
      <tableStyleElement type="secondRowStripe" dxfId="188"/>
    </tableStyle>
    <tableStyle name="DATA_DRAFT (MODEL)-style 54" pivot="0" count="2" xr9:uid="{00000000-0011-0000-FFFF-FFFF1B010000}">
      <tableStyleElement type="firstRowStripe" dxfId="187"/>
      <tableStyleElement type="secondRowStripe" dxfId="186"/>
    </tableStyle>
    <tableStyle name="DATA_DRAFT (MODEL)-style 55" pivot="0" count="2" xr9:uid="{00000000-0011-0000-FFFF-FFFF1C010000}">
      <tableStyleElement type="firstRowStripe" dxfId="185"/>
      <tableStyleElement type="secondRowStripe" dxfId="184"/>
    </tableStyle>
    <tableStyle name="DATA_DRAFT (MODEL)-style 56" pivot="0" count="2" xr9:uid="{00000000-0011-0000-FFFF-FFFF1D010000}">
      <tableStyleElement type="firstRowStripe" dxfId="183"/>
      <tableStyleElement type="secondRowStripe" dxfId="182"/>
    </tableStyle>
    <tableStyle name="DATA_DRAFT (MODEL)-style 57" pivot="0" count="2" xr9:uid="{00000000-0011-0000-FFFF-FFFF1E010000}">
      <tableStyleElement type="firstRowStripe" dxfId="181"/>
      <tableStyleElement type="secondRowStripe" dxfId="180"/>
    </tableStyle>
    <tableStyle name="DATA_DRAFT (MODEL)-style 58" pivot="0" count="2" xr9:uid="{00000000-0011-0000-FFFF-FFFF1F010000}">
      <tableStyleElement type="firstRowStripe" dxfId="179"/>
      <tableStyleElement type="secondRowStripe" dxfId="178"/>
    </tableStyle>
    <tableStyle name="DATA_DRAFT (MODEL)-style 59" pivot="0" count="2" xr9:uid="{00000000-0011-0000-FFFF-FFFF20010000}">
      <tableStyleElement type="firstRowStripe" dxfId="177"/>
      <tableStyleElement type="secondRowStripe" dxfId="176"/>
    </tableStyle>
    <tableStyle name="DATA_DRAFT (MODEL)-style 60" pivot="0" count="2" xr9:uid="{00000000-0011-0000-FFFF-FFFF21010000}">
      <tableStyleElement type="firstRowStripe" dxfId="175"/>
      <tableStyleElement type="secondRowStripe" dxfId="174"/>
    </tableStyle>
    <tableStyle name="DATA_DRAFT (MODEL)-style 61" pivot="0" count="2" xr9:uid="{00000000-0011-0000-FFFF-FFFF22010000}">
      <tableStyleElement type="firstRowStripe" dxfId="173"/>
      <tableStyleElement type="secondRowStripe" dxfId="172"/>
    </tableStyle>
    <tableStyle name="DATA_DRAFT (MODEL)-style 62" pivot="0" count="2" xr9:uid="{00000000-0011-0000-FFFF-FFFF23010000}">
      <tableStyleElement type="firstRowStripe" dxfId="171"/>
      <tableStyleElement type="secondRowStripe" dxfId="170"/>
    </tableStyle>
    <tableStyle name="DATA_DRAFT (MODEL)-style 63" pivot="0" count="2" xr9:uid="{00000000-0011-0000-FFFF-FFFF24010000}">
      <tableStyleElement type="firstRowStripe" dxfId="169"/>
      <tableStyleElement type="secondRowStripe" dxfId="168"/>
    </tableStyle>
    <tableStyle name="DATA_DRAFT (MODEL)-style 64" pivot="0" count="2" xr9:uid="{00000000-0011-0000-FFFF-FFFF25010000}">
      <tableStyleElement type="firstRowStripe" dxfId="167"/>
      <tableStyleElement type="secondRowStripe" dxfId="166"/>
    </tableStyle>
    <tableStyle name="DATA_DRAFT (MODEL)-style 65" pivot="0" count="2" xr9:uid="{00000000-0011-0000-FFFF-FFFF26010000}">
      <tableStyleElement type="firstRowStripe" dxfId="165"/>
      <tableStyleElement type="secondRowStripe" dxfId="164"/>
    </tableStyle>
    <tableStyle name="DATA_DRAFT (MODEL)-style 66" pivot="0" count="2" xr9:uid="{00000000-0011-0000-FFFF-FFFF27010000}">
      <tableStyleElement type="firstRowStripe" dxfId="163"/>
      <tableStyleElement type="secondRowStripe" dxfId="162"/>
    </tableStyle>
    <tableStyle name="DATA_DRAFT (MODEL)-style 67" pivot="0" count="2" xr9:uid="{00000000-0011-0000-FFFF-FFFF28010000}">
      <tableStyleElement type="firstRowStripe" dxfId="161"/>
      <tableStyleElement type="secondRowStripe" dxfId="160"/>
    </tableStyle>
    <tableStyle name="DATA_DRAFT (MODEL)-style 68" pivot="0" count="2" xr9:uid="{00000000-0011-0000-FFFF-FFFF29010000}">
      <tableStyleElement type="firstRowStripe" dxfId="159"/>
      <tableStyleElement type="secondRowStripe" dxfId="158"/>
    </tableStyle>
    <tableStyle name="DATA_DRAFT (MODEL)-style 69" pivot="0" count="2" xr9:uid="{00000000-0011-0000-FFFF-FFFF2A010000}">
      <tableStyleElement type="firstRowStripe" dxfId="157"/>
      <tableStyleElement type="secondRowStripe" dxfId="156"/>
    </tableStyle>
    <tableStyle name="DATA_DRAFT (MODEL)-style 70" pivot="0" count="2" xr9:uid="{00000000-0011-0000-FFFF-FFFF2B010000}">
      <tableStyleElement type="firstRowStripe" dxfId="155"/>
      <tableStyleElement type="secondRowStripe" dxfId="154"/>
    </tableStyle>
    <tableStyle name="DATA_DRAFT (MODEL)-style 71" pivot="0" count="2" xr9:uid="{00000000-0011-0000-FFFF-FFFF2C010000}">
      <tableStyleElement type="firstRowStripe" dxfId="153"/>
      <tableStyleElement type="secondRowStripe" dxfId="152"/>
    </tableStyle>
    <tableStyle name="DATA_DRAFT (MODEL)-style 72" pivot="0" count="2" xr9:uid="{00000000-0011-0000-FFFF-FFFF2D010000}">
      <tableStyleElement type="firstRowStripe" dxfId="151"/>
      <tableStyleElement type="secondRowStripe" dxfId="150"/>
    </tableStyle>
    <tableStyle name="DATA_DRAFT (MODEL)-style 73" pivot="0" count="2" xr9:uid="{00000000-0011-0000-FFFF-FFFF2E010000}">
      <tableStyleElement type="firstRowStripe" dxfId="149"/>
      <tableStyleElement type="secondRowStripe" dxfId="148"/>
    </tableStyle>
    <tableStyle name="DATA_DRAFT (MODEL)-style 74" pivot="0" count="2" xr9:uid="{00000000-0011-0000-FFFF-FFFF2F010000}">
      <tableStyleElement type="firstRowStripe" dxfId="147"/>
      <tableStyleElement type="secondRowStripe" dxfId="146"/>
    </tableStyle>
    <tableStyle name="DATA_DRAFT (MODEL)-style 75" pivot="0" count="2" xr9:uid="{00000000-0011-0000-FFFF-FFFF30010000}">
      <tableStyleElement type="firstRowStripe" dxfId="145"/>
      <tableStyleElement type="secondRowStripe" dxfId="144"/>
    </tableStyle>
    <tableStyle name="DATA_DRAFT (MODEL)-style 76" pivot="0" count="2" xr9:uid="{00000000-0011-0000-FFFF-FFFF31010000}">
      <tableStyleElement type="firstRowStripe" dxfId="143"/>
      <tableStyleElement type="secondRowStripe" dxfId="142"/>
    </tableStyle>
    <tableStyle name="DATA_DRAFT (MODEL)-style 77" pivot="0" count="2" xr9:uid="{00000000-0011-0000-FFFF-FFFF32010000}">
      <tableStyleElement type="firstRowStripe" dxfId="141"/>
      <tableStyleElement type="secondRowStripe" dxfId="140"/>
    </tableStyle>
    <tableStyle name="DATA_DRAFT (MODEL)-style 78" pivot="0" count="2" xr9:uid="{00000000-0011-0000-FFFF-FFFF33010000}">
      <tableStyleElement type="firstRowStripe" dxfId="139"/>
      <tableStyleElement type="secondRowStripe" dxfId="138"/>
    </tableStyle>
    <tableStyle name="DATA_DRAFT (MODEL)-style 79" pivot="0" count="2" xr9:uid="{00000000-0011-0000-FFFF-FFFF34010000}">
      <tableStyleElement type="firstRowStripe" dxfId="137"/>
      <tableStyleElement type="secondRowStripe" dxfId="136"/>
    </tableStyle>
    <tableStyle name="DATA_DRAFT (MODEL)-style 80" pivot="0" count="2" xr9:uid="{00000000-0011-0000-FFFF-FFFF35010000}">
      <tableStyleElement type="firstRowStripe" dxfId="135"/>
      <tableStyleElement type="secondRowStripe" dxfId="134"/>
    </tableStyle>
    <tableStyle name="DATA_DRAFT (MODEL)-style 81" pivot="0" count="2" xr9:uid="{00000000-0011-0000-FFFF-FFFF36010000}">
      <tableStyleElement type="firstRowStripe" dxfId="133"/>
      <tableStyleElement type="secondRowStripe" dxfId="132"/>
    </tableStyle>
    <tableStyle name="DATA_DRAFT (MODEL)-style 82" pivot="0" count="2" xr9:uid="{00000000-0011-0000-FFFF-FFFF37010000}">
      <tableStyleElement type="firstRowStripe" dxfId="131"/>
      <tableStyleElement type="secondRowStripe" dxfId="130"/>
    </tableStyle>
    <tableStyle name="DATA_DRAFT (MODEL)-style 83" pivot="0" count="2" xr9:uid="{00000000-0011-0000-FFFF-FFFF38010000}">
      <tableStyleElement type="firstRowStripe" dxfId="129"/>
      <tableStyleElement type="secondRowStripe" dxfId="128"/>
    </tableStyle>
    <tableStyle name="DATA_DRAFT (MODEL)-style 84" pivot="0" count="2" xr9:uid="{00000000-0011-0000-FFFF-FFFF39010000}">
      <tableStyleElement type="firstRowStripe" dxfId="127"/>
      <tableStyleElement type="secondRowStripe" dxfId="126"/>
    </tableStyle>
    <tableStyle name="DATA_DRAFT (MODEL)-style 85" pivot="0" count="2" xr9:uid="{00000000-0011-0000-FFFF-FFFF3A010000}">
      <tableStyleElement type="firstRowStripe" dxfId="125"/>
      <tableStyleElement type="secondRowStripe" dxfId="124"/>
    </tableStyle>
    <tableStyle name="DATA_DRAFT (MODEL)-style 86" pivot="0" count="2" xr9:uid="{00000000-0011-0000-FFFF-FFFF3B010000}">
      <tableStyleElement type="firstRowStripe" dxfId="123"/>
      <tableStyleElement type="secondRowStripe" dxfId="122"/>
    </tableStyle>
    <tableStyle name="DATA_DRAFT (MODEL)-style 87" pivot="0" count="2" xr9:uid="{00000000-0011-0000-FFFF-FFFF3C010000}">
      <tableStyleElement type="firstRowStripe" dxfId="121"/>
      <tableStyleElement type="secondRowStripe" dxfId="120"/>
    </tableStyle>
    <tableStyle name="DATA_DRAFT (MODEL)-style 88" pivot="0" count="2" xr9:uid="{00000000-0011-0000-FFFF-FFFF3D010000}">
      <tableStyleElement type="firstRowStripe" dxfId="119"/>
      <tableStyleElement type="secondRowStripe" dxfId="118"/>
    </tableStyle>
    <tableStyle name="DATA_DRAFT (MODEL)-style 89" pivot="0" count="2" xr9:uid="{00000000-0011-0000-FFFF-FFFF3E010000}">
      <tableStyleElement type="firstRowStripe" dxfId="117"/>
      <tableStyleElement type="secondRowStripe" dxfId="116"/>
    </tableStyle>
    <tableStyle name="DATA_DRAFT (MODEL)-style 90" pivot="0" count="2" xr9:uid="{00000000-0011-0000-FFFF-FFFF3F010000}">
      <tableStyleElement type="firstRowStripe" dxfId="115"/>
      <tableStyleElement type="secondRowStripe" dxfId="114"/>
    </tableStyle>
    <tableStyle name="DATA_DRAFT (MODEL)-style 91" pivot="0" count="2" xr9:uid="{00000000-0011-0000-FFFF-FFFF40010000}">
      <tableStyleElement type="firstRowStripe" dxfId="113"/>
      <tableStyleElement type="secondRowStripe" dxfId="112"/>
    </tableStyle>
    <tableStyle name="DATA_DRAFT (MODEL)-style 92" pivot="0" count="2" xr9:uid="{00000000-0011-0000-FFFF-FFFF41010000}">
      <tableStyleElement type="firstRowStripe" dxfId="111"/>
      <tableStyleElement type="secondRowStripe" dxfId="110"/>
    </tableStyle>
    <tableStyle name="DATA_DRAFT (MODEL)-style 93" pivot="0" count="2" xr9:uid="{00000000-0011-0000-FFFF-FFFF42010000}">
      <tableStyleElement type="firstRowStripe" dxfId="109"/>
      <tableStyleElement type="secondRowStripe" dxfId="108"/>
    </tableStyle>
    <tableStyle name="DATA_DRAFT (MODEL)-style 94" pivot="0" count="2" xr9:uid="{00000000-0011-0000-FFFF-FFFF43010000}">
      <tableStyleElement type="firstRowStripe" dxfId="107"/>
      <tableStyleElement type="secondRowStripe" dxfId="106"/>
    </tableStyle>
    <tableStyle name="DATA_DRAFT (MODEL)-style 95" pivot="0" count="2" xr9:uid="{00000000-0011-0000-FFFF-FFFF44010000}">
      <tableStyleElement type="firstRowStripe" dxfId="105"/>
      <tableStyleElement type="secondRowStripe" dxfId="104"/>
    </tableStyle>
    <tableStyle name="DATA_DRAFT (MODEL)-style 96" pivot="0" count="2" xr9:uid="{00000000-0011-0000-FFFF-FFFF45010000}">
      <tableStyleElement type="firstRowStripe" dxfId="103"/>
      <tableStyleElement type="secondRowStripe" dxfId="102"/>
    </tableStyle>
    <tableStyle name="DATA_DRAFT (MODEL)-style 97" pivot="0" count="2" xr9:uid="{00000000-0011-0000-FFFF-FFFF46010000}">
      <tableStyleElement type="firstRowStripe" dxfId="101"/>
      <tableStyleElement type="secondRowStripe" dxfId="100"/>
    </tableStyle>
    <tableStyle name="DATA_DRAFT (MODEL)-style 98" pivot="0" count="2" xr9:uid="{00000000-0011-0000-FFFF-FFFF47010000}">
      <tableStyleElement type="firstRowStripe" dxfId="99"/>
      <tableStyleElement type="secondRowStripe" dxfId="98"/>
    </tableStyle>
    <tableStyle name="DATA_DRAFT (MODEL)-style 99" pivot="0" count="2" xr9:uid="{00000000-0011-0000-FFFF-FFFF48010000}">
      <tableStyleElement type="firstRowStripe" dxfId="97"/>
      <tableStyleElement type="secondRowStripe" dxfId="96"/>
    </tableStyle>
    <tableStyle name="DATA_DRAFT (MODEL)-style 100" pivot="0" count="2" xr9:uid="{00000000-0011-0000-FFFF-FFFF49010000}">
      <tableStyleElement type="firstRowStripe" dxfId="95"/>
      <tableStyleElement type="secondRowStripe" dxfId="94"/>
    </tableStyle>
    <tableStyle name="DATA_DRAFT (MODEL)-style 101" pivot="0" count="2" xr9:uid="{00000000-0011-0000-FFFF-FFFF4A010000}">
      <tableStyleElement type="firstRowStripe" dxfId="93"/>
      <tableStyleElement type="secondRowStripe" dxfId="92"/>
    </tableStyle>
    <tableStyle name="DATA_DRAFT (MODEL)-style 102" pivot="0" count="2" xr9:uid="{00000000-0011-0000-FFFF-FFFF4B010000}">
      <tableStyleElement type="firstRowStripe" dxfId="91"/>
      <tableStyleElement type="secondRowStripe" dxfId="90"/>
    </tableStyle>
    <tableStyle name="DATA_DRAFT (MODEL)-style 103" pivot="0" count="2" xr9:uid="{00000000-0011-0000-FFFF-FFFF4C010000}">
      <tableStyleElement type="firstRowStripe" dxfId="89"/>
      <tableStyleElement type="secondRowStripe" dxfId="88"/>
    </tableStyle>
    <tableStyle name="DATA_DRAFT (MODEL)-style 104" pivot="0" count="2" xr9:uid="{00000000-0011-0000-FFFF-FFFF4D010000}">
      <tableStyleElement type="firstRowStripe" dxfId="87"/>
      <tableStyleElement type="secondRowStripe" dxfId="86"/>
    </tableStyle>
    <tableStyle name="DATA_DRAFT (MODEL)-style 105" pivot="0" count="2" xr9:uid="{00000000-0011-0000-FFFF-FFFF4E010000}">
      <tableStyleElement type="firstRowStripe" dxfId="85"/>
      <tableStyleElement type="secondRowStripe" dxfId="84"/>
    </tableStyle>
    <tableStyle name="DATA_DRAFT (MODEL)-style 106" pivot="0" count="2" xr9:uid="{00000000-0011-0000-FFFF-FFFF4F010000}">
      <tableStyleElement type="firstRowStripe" dxfId="83"/>
      <tableStyleElement type="secondRowStripe" dxfId="82"/>
    </tableStyle>
    <tableStyle name="DATA_DRAFT (MODEL)-style 107" pivot="0" count="2" xr9:uid="{00000000-0011-0000-FFFF-FFFF50010000}">
      <tableStyleElement type="firstRowStripe" dxfId="81"/>
      <tableStyleElement type="secondRowStripe" dxfId="80"/>
    </tableStyle>
    <tableStyle name="DATA_DRAFT (MODEL)-style 108" pivot="0" count="2" xr9:uid="{00000000-0011-0000-FFFF-FFFF51010000}">
      <tableStyleElement type="firstRowStripe" dxfId="79"/>
      <tableStyleElement type="secondRowStripe" dxfId="78"/>
    </tableStyle>
    <tableStyle name="DATA_DRAFT (MODEL)-style 109" pivot="0" count="2" xr9:uid="{00000000-0011-0000-FFFF-FFFF52010000}">
      <tableStyleElement type="firstRowStripe" dxfId="77"/>
      <tableStyleElement type="secondRowStripe" dxfId="76"/>
    </tableStyle>
    <tableStyle name="DATA_DRAFT (MODEL)-style 110" pivot="0" count="2" xr9:uid="{00000000-0011-0000-FFFF-FFFF53010000}">
      <tableStyleElement type="firstRowStripe" dxfId="75"/>
      <tableStyleElement type="secondRowStripe" dxfId="74"/>
    </tableStyle>
    <tableStyle name="DATA_DRAFT (MODEL)-style 111" pivot="0" count="2" xr9:uid="{00000000-0011-0000-FFFF-FFFF54010000}">
      <tableStyleElement type="firstRowStripe" dxfId="73"/>
      <tableStyleElement type="secondRowStripe" dxfId="72"/>
    </tableStyle>
    <tableStyle name="DATA_DRAFT (MODEL)-style 112" pivot="0" count="2" xr9:uid="{00000000-0011-0000-FFFF-FFFF55010000}">
      <tableStyleElement type="firstRowStripe" dxfId="71"/>
      <tableStyleElement type="secondRowStripe" dxfId="70"/>
    </tableStyle>
    <tableStyle name="DATA_DRAFT (MODEL)-style 113" pivot="0" count="2" xr9:uid="{00000000-0011-0000-FFFF-FFFF56010000}">
      <tableStyleElement type="firstRowStripe" dxfId="69"/>
      <tableStyleElement type="secondRowStripe" dxfId="68"/>
    </tableStyle>
    <tableStyle name="DATA_DRAFT (MODEL)-style 114" pivot="0" count="2" xr9:uid="{00000000-0011-0000-FFFF-FFFF57010000}">
      <tableStyleElement type="firstRowStripe" dxfId="67"/>
      <tableStyleElement type="secondRowStripe" dxfId="66"/>
    </tableStyle>
    <tableStyle name="DATA_DRAFT (MODEL)-style 115" pivot="0" count="2" xr9:uid="{00000000-0011-0000-FFFF-FFFF58010000}">
      <tableStyleElement type="firstRowStripe" dxfId="65"/>
      <tableStyleElement type="secondRowStripe" dxfId="64"/>
    </tableStyle>
    <tableStyle name="DATA_DRAFT (MODEL)-style 116" pivot="0" count="2" xr9:uid="{00000000-0011-0000-FFFF-FFFF59010000}">
      <tableStyleElement type="firstRowStripe" dxfId="63"/>
      <tableStyleElement type="secondRowStripe" dxfId="62"/>
    </tableStyle>
    <tableStyle name="DATA_DRAFT (MODEL)-style 117" pivot="0" count="2" xr9:uid="{00000000-0011-0000-FFFF-FFFF5A010000}">
      <tableStyleElement type="firstRowStripe" dxfId="61"/>
      <tableStyleElement type="secondRowStripe" dxfId="60"/>
    </tableStyle>
    <tableStyle name="DATA_DRAFT (MODEL)-style 118" pivot="0" count="2" xr9:uid="{00000000-0011-0000-FFFF-FFFF5B010000}">
      <tableStyleElement type="firstRowStripe" dxfId="59"/>
      <tableStyleElement type="secondRowStripe" dxfId="58"/>
    </tableStyle>
    <tableStyle name="DATA_DRAFT (MODEL)-style 119" pivot="0" count="2" xr9:uid="{00000000-0011-0000-FFFF-FFFF5C010000}">
      <tableStyleElement type="firstRowStripe" dxfId="57"/>
      <tableStyleElement type="secondRowStripe" dxfId="56"/>
    </tableStyle>
    <tableStyle name="DATA_DRAFT (MODEL)-style 120" pivot="0" count="2" xr9:uid="{00000000-0011-0000-FFFF-FFFF5D010000}">
      <tableStyleElement type="firstRowStripe" dxfId="55"/>
      <tableStyleElement type="secondRowStripe" dxfId="54"/>
    </tableStyle>
    <tableStyle name="DATA_DRAFT (MODEL)-style 121" pivot="0" count="2" xr9:uid="{00000000-0011-0000-FFFF-FFFF5E010000}">
      <tableStyleElement type="firstRowStripe" dxfId="53"/>
      <tableStyleElement type="secondRowStripe" dxfId="52"/>
    </tableStyle>
    <tableStyle name="DATA_DRAFT (MODEL)-style 122" pivot="0" count="2" xr9:uid="{00000000-0011-0000-FFFF-FFFF5F010000}">
      <tableStyleElement type="firstRowStripe" dxfId="51"/>
      <tableStyleElement type="secondRowStripe" dxfId="50"/>
    </tableStyle>
    <tableStyle name="DATA_DRAFT (MODEL)-style 123" pivot="0" count="2" xr9:uid="{00000000-0011-0000-FFFF-FFFF60010000}">
      <tableStyleElement type="firstRowStripe" dxfId="49"/>
      <tableStyleElement type="secondRowStripe" dxfId="48"/>
    </tableStyle>
    <tableStyle name="DATA_DRAFT (MODEL)-style 124" pivot="0" count="2" xr9:uid="{00000000-0011-0000-FFFF-FFFF61010000}">
      <tableStyleElement type="firstRowStripe" dxfId="47"/>
      <tableStyleElement type="secondRowStripe" dxfId="46"/>
    </tableStyle>
    <tableStyle name="DATA_DRAFT (MODEL)-style 125" pivot="0" count="2" xr9:uid="{00000000-0011-0000-FFFF-FFFF62010000}">
      <tableStyleElement type="firstRowStripe" dxfId="45"/>
      <tableStyleElement type="secondRowStripe" dxfId="44"/>
    </tableStyle>
    <tableStyle name="DATA_DRAFT (MODEL)-style 126" pivot="0" count="2" xr9:uid="{00000000-0011-0000-FFFF-FFFF63010000}">
      <tableStyleElement type="firstRowStripe" dxfId="43"/>
      <tableStyleElement type="secondRowStripe" dxfId="42"/>
    </tableStyle>
    <tableStyle name="DATA_DRAFT (MODEL)-style 127" pivot="0" count="2" xr9:uid="{00000000-0011-0000-FFFF-FFFF64010000}">
      <tableStyleElement type="firstRowStripe" dxfId="41"/>
      <tableStyleElement type="secondRowStripe" dxfId="40"/>
    </tableStyle>
    <tableStyle name="DATA_DRAFT (MODEL)-style 128" pivot="0" count="2" xr9:uid="{00000000-0011-0000-FFFF-FFFF65010000}">
      <tableStyleElement type="firstRowStripe" dxfId="39"/>
      <tableStyleElement type="secondRowStripe" dxfId="38"/>
    </tableStyle>
    <tableStyle name="DATA_DRAFT (MODEL)-style 129" pivot="0" count="2" xr9:uid="{00000000-0011-0000-FFFF-FFFF66010000}">
      <tableStyleElement type="firstRowStripe" dxfId="37"/>
      <tableStyleElement type="secondRowStripe" dxfId="36"/>
    </tableStyle>
    <tableStyle name="DATA_DRAFT (MODEL)-style 130" pivot="0" count="2" xr9:uid="{00000000-0011-0000-FFFF-FFFF67010000}">
      <tableStyleElement type="firstRowStripe" dxfId="35"/>
      <tableStyleElement type="secondRowStripe" dxfId="34"/>
    </tableStyle>
    <tableStyle name="DATA_DRAFT (MODEL)-style 131" pivot="0" count="2" xr9:uid="{00000000-0011-0000-FFFF-FFFF68010000}">
      <tableStyleElement type="firstRowStripe" dxfId="33"/>
      <tableStyleElement type="secondRowStripe" dxfId="32"/>
    </tableStyle>
    <tableStyle name="DATA_DRAFT (MODEL)-style 132" pivot="0" count="2" xr9:uid="{00000000-0011-0000-FFFF-FFFF69010000}">
      <tableStyleElement type="firstRowStripe" dxfId="31"/>
      <tableStyleElement type="secondRowStripe" dxfId="30"/>
    </tableStyle>
    <tableStyle name="DATA_DRAFT (MODEL)-style 133" pivot="0" count="2" xr9:uid="{00000000-0011-0000-FFFF-FFFF6A010000}">
      <tableStyleElement type="firstRowStripe" dxfId="29"/>
      <tableStyleElement type="secondRowStripe" dxfId="28"/>
    </tableStyle>
    <tableStyle name="DATA_DRAFT (MODEL)-style 134" pivot="0" count="2" xr9:uid="{00000000-0011-0000-FFFF-FFFF6B010000}">
      <tableStyleElement type="firstRowStripe" dxfId="27"/>
      <tableStyleElement type="secondRowStripe" dxfId="26"/>
    </tableStyle>
    <tableStyle name="DATA_DRAFT (MODEL)-style 135" pivot="0" count="2" xr9:uid="{00000000-0011-0000-FFFF-FFFF6C010000}">
      <tableStyleElement type="firstRowStripe" dxfId="25"/>
      <tableStyleElement type="secondRowStripe" dxfId="24"/>
    </tableStyle>
    <tableStyle name="DATA_DRAFT (MODEL)-style 136" pivot="0" count="2" xr9:uid="{00000000-0011-0000-FFFF-FFFF6D010000}">
      <tableStyleElement type="firstRowStripe" dxfId="23"/>
      <tableStyleElement type="secondRowStripe" dxfId="22"/>
    </tableStyle>
    <tableStyle name="DATA_DRAFT (MODEL)-style 137" pivot="0" count="2" xr9:uid="{00000000-0011-0000-FFFF-FFFF6E010000}">
      <tableStyleElement type="firstRowStripe" dxfId="21"/>
      <tableStyleElement type="secondRowStripe" dxfId="20"/>
    </tableStyle>
    <tableStyle name="DATA_DRAFT (MODEL)-style 138" pivot="0" count="2" xr9:uid="{00000000-0011-0000-FFFF-FFFF6F010000}">
      <tableStyleElement type="firstRowStripe" dxfId="19"/>
      <tableStyleElement type="secondRowStripe" dxfId="18"/>
    </tableStyle>
    <tableStyle name="DATA_DRAFT (MODEL)-style 139" pivot="0" count="2" xr9:uid="{00000000-0011-0000-FFFF-FFFF70010000}">
      <tableStyleElement type="firstRowStripe" dxfId="17"/>
      <tableStyleElement type="secondRowStripe" dxfId="16"/>
    </tableStyle>
    <tableStyle name="DATA_DRAFT (MODEL)-style 140" pivot="0" count="2" xr9:uid="{00000000-0011-0000-FFFF-FFFF71010000}">
      <tableStyleElement type="firstRowStripe" dxfId="15"/>
      <tableStyleElement type="secondRowStripe" dxfId="14"/>
    </tableStyle>
    <tableStyle name="DATA_DRAFT (MODEL)-style 141" pivot="0" count="2" xr9:uid="{00000000-0011-0000-FFFF-FFFF72010000}">
      <tableStyleElement type="firstRowStripe" dxfId="13"/>
      <tableStyleElement type="secondRowStripe" dxfId="12"/>
    </tableStyle>
    <tableStyle name="DATA_DRAFT (MODEL)-style 142" pivot="0" count="2" xr9:uid="{00000000-0011-0000-FFFF-FFFF73010000}">
      <tableStyleElement type="firstRowStripe" dxfId="11"/>
      <tableStyleElement type="secondRowStripe" dxfId="10"/>
    </tableStyle>
    <tableStyle name="DATA_DRAFT (MODEL)-style 143" pivot="0" count="2" xr9:uid="{00000000-0011-0000-FFFF-FFFF74010000}">
      <tableStyleElement type="firstRowStripe" dxfId="9"/>
      <tableStyleElement type="secondRowStripe" dxfId="8"/>
    </tableStyle>
    <tableStyle name="DATA_DRAFT (MODEL)-style 144" pivot="0" count="2" xr9:uid="{00000000-0011-0000-FFFF-FFFF75010000}">
      <tableStyleElement type="firstRowStripe" dxfId="7"/>
      <tableStyleElement type="secondRowStripe" dxfId="6"/>
    </tableStyle>
    <tableStyle name="DATA_DRAFT (MODEL)-style 145" pivot="0" count="2" xr9:uid="{00000000-0011-0000-FFFF-FFFF76010000}">
      <tableStyleElement type="firstRowStripe" dxfId="5"/>
      <tableStyleElement type="secondRowStripe" dxfId="4"/>
    </tableStyle>
    <tableStyle name="DATA_DRAFT (MODEL)-style 146" pivot="0" count="2" xr9:uid="{00000000-0011-0000-FFFF-FFFF77010000}">
      <tableStyleElement type="firstRowStripe" dxfId="3"/>
      <tableStyleElement type="secondRowStripe" dxfId="2"/>
    </tableStyle>
    <tableStyle name="DATA_DRAFT (MODEL)-style 147" pivot="0" count="2" xr9:uid="{00000000-0011-0000-FFFF-FFFF78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5" displayName="Table5" ref="I1:CT1" headerRowCount="0">
  <tableColumns count="90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  <tableColumn id="5" xr3:uid="{00000000-0010-0000-4700-000005000000}" name="Column5"/>
    <tableColumn id="6" xr3:uid="{00000000-0010-0000-4700-000006000000}" name="Column6"/>
    <tableColumn id="7" xr3:uid="{00000000-0010-0000-4700-000007000000}" name="Column7"/>
    <tableColumn id="8" xr3:uid="{00000000-0010-0000-4700-000008000000}" name="Column8"/>
    <tableColumn id="9" xr3:uid="{00000000-0010-0000-4700-000009000000}" name="Column9"/>
    <tableColumn id="10" xr3:uid="{00000000-0010-0000-4700-00000A000000}" name="Column10"/>
    <tableColumn id="11" xr3:uid="{00000000-0010-0000-4700-00000B000000}" name="Column11"/>
    <tableColumn id="12" xr3:uid="{00000000-0010-0000-4700-00000C000000}" name="Column12"/>
    <tableColumn id="13" xr3:uid="{00000000-0010-0000-4700-00000D000000}" name="Column13"/>
    <tableColumn id="14" xr3:uid="{00000000-0010-0000-4700-00000E000000}" name="Column14"/>
    <tableColumn id="15" xr3:uid="{00000000-0010-0000-4700-00000F000000}" name="Column15"/>
    <tableColumn id="16" xr3:uid="{00000000-0010-0000-4700-000010000000}" name="Column16"/>
    <tableColumn id="17" xr3:uid="{00000000-0010-0000-4700-000011000000}" name="Column17"/>
    <tableColumn id="18" xr3:uid="{00000000-0010-0000-4700-000012000000}" name="Column18"/>
    <tableColumn id="19" xr3:uid="{00000000-0010-0000-4700-000013000000}" name="Column19"/>
    <tableColumn id="20" xr3:uid="{00000000-0010-0000-4700-000014000000}" name="Column20"/>
    <tableColumn id="21" xr3:uid="{00000000-0010-0000-4700-000015000000}" name="Column21"/>
    <tableColumn id="22" xr3:uid="{00000000-0010-0000-4700-000016000000}" name="Column22"/>
    <tableColumn id="23" xr3:uid="{00000000-0010-0000-4700-000017000000}" name="Column23"/>
    <tableColumn id="24" xr3:uid="{00000000-0010-0000-4700-000018000000}" name="Column24"/>
    <tableColumn id="25" xr3:uid="{00000000-0010-0000-4700-000019000000}" name="Column25"/>
    <tableColumn id="26" xr3:uid="{00000000-0010-0000-4700-00001A000000}" name="Column26"/>
    <tableColumn id="27" xr3:uid="{00000000-0010-0000-4700-00001B000000}" name="Column27"/>
    <tableColumn id="28" xr3:uid="{00000000-0010-0000-4700-00001C000000}" name="Column28"/>
    <tableColumn id="29" xr3:uid="{00000000-0010-0000-4700-00001D000000}" name="Column29"/>
    <tableColumn id="30" xr3:uid="{00000000-0010-0000-4700-00001E000000}" name="Column30"/>
    <tableColumn id="31" xr3:uid="{00000000-0010-0000-4700-00001F000000}" name="Column31"/>
    <tableColumn id="32" xr3:uid="{00000000-0010-0000-4700-000020000000}" name="Column32"/>
    <tableColumn id="33" xr3:uid="{00000000-0010-0000-4700-000021000000}" name="Column33"/>
    <tableColumn id="34" xr3:uid="{00000000-0010-0000-4700-000022000000}" name="Column34"/>
    <tableColumn id="35" xr3:uid="{00000000-0010-0000-4700-000023000000}" name="Column35"/>
    <tableColumn id="36" xr3:uid="{00000000-0010-0000-4700-000024000000}" name="Column36"/>
    <tableColumn id="37" xr3:uid="{00000000-0010-0000-4700-000025000000}" name="Column37"/>
    <tableColumn id="38" xr3:uid="{00000000-0010-0000-4700-000026000000}" name="Column38"/>
    <tableColumn id="39" xr3:uid="{00000000-0010-0000-4700-000027000000}" name="Column39"/>
    <tableColumn id="40" xr3:uid="{00000000-0010-0000-4700-000028000000}" name="Column40"/>
    <tableColumn id="41" xr3:uid="{00000000-0010-0000-4700-000029000000}" name="Column41"/>
    <tableColumn id="42" xr3:uid="{00000000-0010-0000-4700-00002A000000}" name="Column42"/>
    <tableColumn id="43" xr3:uid="{00000000-0010-0000-4700-00002B000000}" name="Column43"/>
    <tableColumn id="44" xr3:uid="{00000000-0010-0000-4700-00002C000000}" name="Column44"/>
    <tableColumn id="45" xr3:uid="{00000000-0010-0000-4700-00002D000000}" name="Column45"/>
    <tableColumn id="46" xr3:uid="{00000000-0010-0000-4700-00002E000000}" name="Column46"/>
    <tableColumn id="47" xr3:uid="{00000000-0010-0000-4700-00002F000000}" name="Column47"/>
    <tableColumn id="48" xr3:uid="{00000000-0010-0000-4700-000030000000}" name="Column48"/>
    <tableColumn id="49" xr3:uid="{00000000-0010-0000-4700-000031000000}" name="Column49"/>
    <tableColumn id="50" xr3:uid="{00000000-0010-0000-4700-000032000000}" name="Column50"/>
    <tableColumn id="51" xr3:uid="{00000000-0010-0000-4700-000033000000}" name="Column51"/>
    <tableColumn id="52" xr3:uid="{00000000-0010-0000-4700-000034000000}" name="Column52"/>
    <tableColumn id="53" xr3:uid="{00000000-0010-0000-4700-000035000000}" name="Column53"/>
    <tableColumn id="54" xr3:uid="{00000000-0010-0000-4700-000036000000}" name="Column54"/>
    <tableColumn id="55" xr3:uid="{00000000-0010-0000-4700-000037000000}" name="Column55"/>
    <tableColumn id="56" xr3:uid="{00000000-0010-0000-4700-000038000000}" name="Column56"/>
    <tableColumn id="57" xr3:uid="{00000000-0010-0000-4700-000039000000}" name="Column57"/>
    <tableColumn id="58" xr3:uid="{00000000-0010-0000-4700-00003A000000}" name="Column58"/>
    <tableColumn id="59" xr3:uid="{00000000-0010-0000-4700-00003B000000}" name="Column59"/>
    <tableColumn id="60" xr3:uid="{00000000-0010-0000-4700-00003C000000}" name="Column60"/>
    <tableColumn id="61" xr3:uid="{00000000-0010-0000-4700-00003D000000}" name="Column61"/>
    <tableColumn id="62" xr3:uid="{00000000-0010-0000-4700-00003E000000}" name="Column62"/>
    <tableColumn id="63" xr3:uid="{00000000-0010-0000-4700-00003F000000}" name="Column63"/>
    <tableColumn id="64" xr3:uid="{00000000-0010-0000-4700-000040000000}" name="Column64"/>
    <tableColumn id="65" xr3:uid="{00000000-0010-0000-4700-000041000000}" name="Column65"/>
    <tableColumn id="66" xr3:uid="{00000000-0010-0000-4700-000042000000}" name="Column66"/>
    <tableColumn id="67" xr3:uid="{00000000-0010-0000-4700-000043000000}" name="Column67"/>
    <tableColumn id="68" xr3:uid="{00000000-0010-0000-4700-000044000000}" name="Column68"/>
    <tableColumn id="69" xr3:uid="{00000000-0010-0000-4700-000045000000}" name="Column69"/>
    <tableColumn id="70" xr3:uid="{00000000-0010-0000-4700-000046000000}" name="Column70"/>
    <tableColumn id="71" xr3:uid="{00000000-0010-0000-4700-000047000000}" name="Column71"/>
    <tableColumn id="72" xr3:uid="{00000000-0010-0000-4700-000048000000}" name="Column72"/>
    <tableColumn id="73" xr3:uid="{00000000-0010-0000-4700-000049000000}" name="Column73"/>
    <tableColumn id="74" xr3:uid="{00000000-0010-0000-4700-00004A000000}" name="Column74"/>
    <tableColumn id="75" xr3:uid="{00000000-0010-0000-4700-00004B000000}" name="Column75"/>
    <tableColumn id="76" xr3:uid="{00000000-0010-0000-4700-00004C000000}" name="Column76"/>
    <tableColumn id="77" xr3:uid="{00000000-0010-0000-4700-00004D000000}" name="Column77"/>
    <tableColumn id="78" xr3:uid="{00000000-0010-0000-4700-00004E000000}" name="Column78"/>
    <tableColumn id="79" xr3:uid="{00000000-0010-0000-4700-00004F000000}" name="Column79"/>
    <tableColumn id="80" xr3:uid="{00000000-0010-0000-4700-000050000000}" name="Column80"/>
    <tableColumn id="81" xr3:uid="{00000000-0010-0000-4700-000051000000}" name="Column81"/>
    <tableColumn id="82" xr3:uid="{00000000-0010-0000-4700-000052000000}" name="Column82"/>
    <tableColumn id="83" xr3:uid="{00000000-0010-0000-4700-000053000000}" name="Column83"/>
    <tableColumn id="84" xr3:uid="{00000000-0010-0000-4700-000054000000}" name="Column84"/>
    <tableColumn id="85" xr3:uid="{00000000-0010-0000-4700-000055000000}" name="Column85"/>
    <tableColumn id="86" xr3:uid="{00000000-0010-0000-4700-000056000000}" name="Column86"/>
    <tableColumn id="87" xr3:uid="{00000000-0010-0000-4700-000057000000}" name="Column87"/>
    <tableColumn id="88" xr3:uid="{00000000-0010-0000-4700-000058000000}" name="Column88"/>
    <tableColumn id="89" xr3:uid="{00000000-0010-0000-4700-000059000000}" name="Column89"/>
    <tableColumn id="90" xr3:uid="{00000000-0010-0000-4700-00005A000000}" name="Column90"/>
  </tableColumns>
  <tableStyleInfo name="DATA_EVALU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0" displayName="Table_70" ref="A2:E37" headerRowCount="0">
  <tableColumns count="5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  <tableColumn id="5" xr3:uid="{00000000-0010-0000-4800-000005000000}" name="Column5"/>
  </tableColumns>
  <tableStyleInfo name="DATA_EVALU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1" displayName="Table_71" ref="I2:CT37" headerRowCount="0">
  <tableColumns count="90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  <tableColumn id="5" xr3:uid="{00000000-0010-0000-4900-000005000000}" name="Column5"/>
    <tableColumn id="6" xr3:uid="{00000000-0010-0000-4900-000006000000}" name="Column6"/>
    <tableColumn id="7" xr3:uid="{00000000-0010-0000-4900-000007000000}" name="Column7"/>
    <tableColumn id="8" xr3:uid="{00000000-0010-0000-4900-000008000000}" name="Column8"/>
    <tableColumn id="9" xr3:uid="{00000000-0010-0000-4900-000009000000}" name="Column9"/>
    <tableColumn id="10" xr3:uid="{00000000-0010-0000-4900-00000A000000}" name="Column10"/>
    <tableColumn id="11" xr3:uid="{00000000-0010-0000-4900-00000B000000}" name="Column11"/>
    <tableColumn id="12" xr3:uid="{00000000-0010-0000-4900-00000C000000}" name="Column12"/>
    <tableColumn id="13" xr3:uid="{00000000-0010-0000-4900-00000D000000}" name="Column13"/>
    <tableColumn id="14" xr3:uid="{00000000-0010-0000-4900-00000E000000}" name="Column14"/>
    <tableColumn id="15" xr3:uid="{00000000-0010-0000-4900-00000F000000}" name="Column15"/>
    <tableColumn id="16" xr3:uid="{00000000-0010-0000-4900-000010000000}" name="Column16"/>
    <tableColumn id="17" xr3:uid="{00000000-0010-0000-4900-000011000000}" name="Column17"/>
    <tableColumn id="18" xr3:uid="{00000000-0010-0000-4900-000012000000}" name="Column18"/>
    <tableColumn id="19" xr3:uid="{00000000-0010-0000-4900-000013000000}" name="Column19"/>
    <tableColumn id="20" xr3:uid="{00000000-0010-0000-4900-000014000000}" name="Column20"/>
    <tableColumn id="21" xr3:uid="{00000000-0010-0000-4900-000015000000}" name="Column21"/>
    <tableColumn id="22" xr3:uid="{00000000-0010-0000-4900-000016000000}" name="Column22"/>
    <tableColumn id="23" xr3:uid="{00000000-0010-0000-4900-000017000000}" name="Column23"/>
    <tableColumn id="24" xr3:uid="{00000000-0010-0000-4900-000018000000}" name="Column24"/>
    <tableColumn id="25" xr3:uid="{00000000-0010-0000-4900-000019000000}" name="Column25"/>
    <tableColumn id="26" xr3:uid="{00000000-0010-0000-4900-00001A000000}" name="Column26"/>
    <tableColumn id="27" xr3:uid="{00000000-0010-0000-4900-00001B000000}" name="Column27"/>
    <tableColumn id="28" xr3:uid="{00000000-0010-0000-4900-00001C000000}" name="Column28"/>
    <tableColumn id="29" xr3:uid="{00000000-0010-0000-4900-00001D000000}" name="Column29"/>
    <tableColumn id="30" xr3:uid="{00000000-0010-0000-4900-00001E000000}" name="Column30"/>
    <tableColumn id="31" xr3:uid="{00000000-0010-0000-4900-00001F000000}" name="Column31"/>
    <tableColumn id="32" xr3:uid="{00000000-0010-0000-4900-000020000000}" name="Column32"/>
    <tableColumn id="33" xr3:uid="{00000000-0010-0000-4900-000021000000}" name="Column33"/>
    <tableColumn id="34" xr3:uid="{00000000-0010-0000-4900-000022000000}" name="Column34"/>
    <tableColumn id="35" xr3:uid="{00000000-0010-0000-4900-000023000000}" name="Column35"/>
    <tableColumn id="36" xr3:uid="{00000000-0010-0000-4900-000024000000}" name="Column36"/>
    <tableColumn id="37" xr3:uid="{00000000-0010-0000-4900-000025000000}" name="Column37"/>
    <tableColumn id="38" xr3:uid="{00000000-0010-0000-4900-000026000000}" name="Column38"/>
    <tableColumn id="39" xr3:uid="{00000000-0010-0000-4900-000027000000}" name="Column39"/>
    <tableColumn id="40" xr3:uid="{00000000-0010-0000-4900-000028000000}" name="Column40"/>
    <tableColumn id="41" xr3:uid="{00000000-0010-0000-4900-000029000000}" name="Column41"/>
    <tableColumn id="42" xr3:uid="{00000000-0010-0000-4900-00002A000000}" name="Column42"/>
    <tableColumn id="43" xr3:uid="{00000000-0010-0000-4900-00002B000000}" name="Column43"/>
    <tableColumn id="44" xr3:uid="{00000000-0010-0000-4900-00002C000000}" name="Column44"/>
    <tableColumn id="45" xr3:uid="{00000000-0010-0000-4900-00002D000000}" name="Column45"/>
    <tableColumn id="46" xr3:uid="{00000000-0010-0000-4900-00002E000000}" name="Column46"/>
    <tableColumn id="47" xr3:uid="{00000000-0010-0000-4900-00002F000000}" name="Column47"/>
    <tableColumn id="48" xr3:uid="{00000000-0010-0000-4900-000030000000}" name="Column48"/>
    <tableColumn id="49" xr3:uid="{00000000-0010-0000-4900-000031000000}" name="Column49"/>
    <tableColumn id="50" xr3:uid="{00000000-0010-0000-4900-000032000000}" name="Column50"/>
    <tableColumn id="51" xr3:uid="{00000000-0010-0000-4900-000033000000}" name="Column51"/>
    <tableColumn id="52" xr3:uid="{00000000-0010-0000-4900-000034000000}" name="Column52"/>
    <tableColumn id="53" xr3:uid="{00000000-0010-0000-4900-000035000000}" name="Column53"/>
    <tableColumn id="54" xr3:uid="{00000000-0010-0000-4900-000036000000}" name="Column54"/>
    <tableColumn id="55" xr3:uid="{00000000-0010-0000-4900-000037000000}" name="Column55"/>
    <tableColumn id="56" xr3:uid="{00000000-0010-0000-4900-000038000000}" name="Column56"/>
    <tableColumn id="57" xr3:uid="{00000000-0010-0000-4900-000039000000}" name="Column57"/>
    <tableColumn id="58" xr3:uid="{00000000-0010-0000-4900-00003A000000}" name="Column58"/>
    <tableColumn id="59" xr3:uid="{00000000-0010-0000-4900-00003B000000}" name="Column59"/>
    <tableColumn id="60" xr3:uid="{00000000-0010-0000-4900-00003C000000}" name="Column60"/>
    <tableColumn id="61" xr3:uid="{00000000-0010-0000-4900-00003D000000}" name="Column61"/>
    <tableColumn id="62" xr3:uid="{00000000-0010-0000-4900-00003E000000}" name="Column62"/>
    <tableColumn id="63" xr3:uid="{00000000-0010-0000-4900-00003F000000}" name="Column63"/>
    <tableColumn id="64" xr3:uid="{00000000-0010-0000-4900-000040000000}" name="Column64"/>
    <tableColumn id="65" xr3:uid="{00000000-0010-0000-4900-000041000000}" name="Column65"/>
    <tableColumn id="66" xr3:uid="{00000000-0010-0000-4900-000042000000}" name="Column66"/>
    <tableColumn id="67" xr3:uid="{00000000-0010-0000-4900-000043000000}" name="Column67"/>
    <tableColumn id="68" xr3:uid="{00000000-0010-0000-4900-000044000000}" name="Column68"/>
    <tableColumn id="69" xr3:uid="{00000000-0010-0000-4900-000045000000}" name="Column69"/>
    <tableColumn id="70" xr3:uid="{00000000-0010-0000-4900-000046000000}" name="Column70"/>
    <tableColumn id="71" xr3:uid="{00000000-0010-0000-4900-000047000000}" name="Column71"/>
    <tableColumn id="72" xr3:uid="{00000000-0010-0000-4900-000048000000}" name="Column72"/>
    <tableColumn id="73" xr3:uid="{00000000-0010-0000-4900-000049000000}" name="Column73"/>
    <tableColumn id="74" xr3:uid="{00000000-0010-0000-4900-00004A000000}" name="Column74"/>
    <tableColumn id="75" xr3:uid="{00000000-0010-0000-4900-00004B000000}" name="Column75"/>
    <tableColumn id="76" xr3:uid="{00000000-0010-0000-4900-00004C000000}" name="Column76"/>
    <tableColumn id="77" xr3:uid="{00000000-0010-0000-4900-00004D000000}" name="Column77"/>
    <tableColumn id="78" xr3:uid="{00000000-0010-0000-4900-00004E000000}" name="Column78"/>
    <tableColumn id="79" xr3:uid="{00000000-0010-0000-4900-00004F000000}" name="Column79"/>
    <tableColumn id="80" xr3:uid="{00000000-0010-0000-4900-000050000000}" name="Column80"/>
    <tableColumn id="81" xr3:uid="{00000000-0010-0000-4900-000051000000}" name="Column81"/>
    <tableColumn id="82" xr3:uid="{00000000-0010-0000-4900-000052000000}" name="Column82"/>
    <tableColumn id="83" xr3:uid="{00000000-0010-0000-4900-000053000000}" name="Column83"/>
    <tableColumn id="84" xr3:uid="{00000000-0010-0000-4900-000054000000}" name="Column84"/>
    <tableColumn id="85" xr3:uid="{00000000-0010-0000-4900-000055000000}" name="Column85"/>
    <tableColumn id="86" xr3:uid="{00000000-0010-0000-4900-000056000000}" name="Column86"/>
    <tableColumn id="87" xr3:uid="{00000000-0010-0000-4900-000057000000}" name="Column87"/>
    <tableColumn id="88" xr3:uid="{00000000-0010-0000-4900-000058000000}" name="Column88"/>
    <tableColumn id="89" xr3:uid="{00000000-0010-0000-4900-000059000000}" name="Column89"/>
    <tableColumn id="90" xr3:uid="{00000000-0010-0000-4900-00005A000000}" name="Column90"/>
  </tableColumns>
  <tableStyleInfo name="DATA_EVALU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2" displayName="Table_72" ref="H32:H37" headerRowCount="0">
  <tableColumns count="1">
    <tableColumn id="1" xr3:uid="{00000000-0010-0000-4A00-000001000000}" name="Column1"/>
  </tableColumns>
  <tableStyleInfo name="DATA_EVALUATION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T37"/>
  <sheetViews>
    <sheetView tabSelected="1" workbookViewId="0">
      <selection activeCell="I17" sqref="I17"/>
    </sheetView>
  </sheetViews>
  <sheetFormatPr defaultColWidth="12.5703125" defaultRowHeight="15.75" customHeight="1" x14ac:dyDescent="0.2"/>
  <cols>
    <col min="8" max="8" width="17.85546875" customWidth="1"/>
  </cols>
  <sheetData>
    <row r="1" spans="1:98" ht="22.5" customHeight="1" x14ac:dyDescent="0.2">
      <c r="A1" s="69" t="s">
        <v>120</v>
      </c>
      <c r="B1" s="8" t="s">
        <v>121</v>
      </c>
      <c r="C1" s="8" t="s">
        <v>122</v>
      </c>
      <c r="D1" s="8" t="s">
        <v>123</v>
      </c>
      <c r="E1" s="9" t="s">
        <v>117</v>
      </c>
      <c r="F1" s="10" t="s">
        <v>124</v>
      </c>
      <c r="G1" s="11" t="s">
        <v>125</v>
      </c>
      <c r="H1" s="11" t="s">
        <v>118</v>
      </c>
      <c r="I1" s="23" t="s">
        <v>0</v>
      </c>
      <c r="J1" s="23" t="s">
        <v>1</v>
      </c>
      <c r="K1" s="23" t="s">
        <v>2</v>
      </c>
      <c r="L1" s="23" t="s">
        <v>3</v>
      </c>
      <c r="M1" s="23" t="s">
        <v>4</v>
      </c>
      <c r="N1" s="23" t="s">
        <v>5</v>
      </c>
      <c r="O1" s="23" t="s">
        <v>6</v>
      </c>
      <c r="P1" s="23" t="s">
        <v>7</v>
      </c>
      <c r="Q1" s="23" t="s">
        <v>8</v>
      </c>
      <c r="R1" s="23" t="s">
        <v>161</v>
      </c>
      <c r="S1" s="23" t="s">
        <v>9</v>
      </c>
      <c r="T1" s="23" t="s">
        <v>10</v>
      </c>
      <c r="U1" s="23" t="s">
        <v>11</v>
      </c>
      <c r="V1" s="23" t="s">
        <v>12</v>
      </c>
      <c r="W1" s="23" t="s">
        <v>13</v>
      </c>
      <c r="X1" s="23" t="s">
        <v>14</v>
      </c>
      <c r="Y1" s="23" t="s">
        <v>15</v>
      </c>
      <c r="Z1" s="24" t="s">
        <v>16</v>
      </c>
      <c r="AA1" s="23" t="s">
        <v>17</v>
      </c>
      <c r="AB1" s="23" t="s">
        <v>18</v>
      </c>
      <c r="AC1" s="23" t="s">
        <v>19</v>
      </c>
      <c r="AD1" s="23" t="s">
        <v>20</v>
      </c>
      <c r="AE1" s="23" t="s">
        <v>21</v>
      </c>
      <c r="AF1" s="23" t="s">
        <v>22</v>
      </c>
      <c r="AG1" s="23" t="s">
        <v>23</v>
      </c>
      <c r="AH1" s="23" t="s">
        <v>24</v>
      </c>
      <c r="AI1" s="23" t="s">
        <v>25</v>
      </c>
      <c r="AJ1" s="23" t="s">
        <v>26</v>
      </c>
      <c r="AK1" s="25" t="s">
        <v>27</v>
      </c>
      <c r="AL1" s="23" t="s">
        <v>28</v>
      </c>
      <c r="AM1" s="23" t="s">
        <v>29</v>
      </c>
      <c r="AN1" s="23" t="s">
        <v>30</v>
      </c>
      <c r="AO1" s="23" t="s">
        <v>31</v>
      </c>
      <c r="AP1" s="23" t="s">
        <v>32</v>
      </c>
      <c r="AQ1" s="23" t="s">
        <v>33</v>
      </c>
      <c r="AR1" s="23" t="s">
        <v>34</v>
      </c>
      <c r="AS1" s="23" t="s">
        <v>35</v>
      </c>
      <c r="AT1" s="23" t="s">
        <v>36</v>
      </c>
      <c r="AU1" s="23" t="s">
        <v>37</v>
      </c>
      <c r="AV1" s="23" t="s">
        <v>38</v>
      </c>
      <c r="AW1" s="23" t="s">
        <v>39</v>
      </c>
      <c r="AX1" s="24" t="s">
        <v>40</v>
      </c>
      <c r="AY1" s="23" t="s">
        <v>41</v>
      </c>
      <c r="AZ1" s="23" t="s">
        <v>42</v>
      </c>
      <c r="BA1" s="23" t="s">
        <v>43</v>
      </c>
      <c r="BB1" s="23" t="s">
        <v>44</v>
      </c>
      <c r="BC1" s="23" t="s">
        <v>45</v>
      </c>
      <c r="BD1" s="23" t="s">
        <v>46</v>
      </c>
      <c r="BE1" s="25" t="s">
        <v>47</v>
      </c>
      <c r="BF1" s="24" t="s">
        <v>48</v>
      </c>
      <c r="BG1" s="23" t="s">
        <v>49</v>
      </c>
      <c r="BH1" s="23" t="s">
        <v>50</v>
      </c>
      <c r="BI1" s="23" t="s">
        <v>51</v>
      </c>
      <c r="BJ1" s="23" t="s">
        <v>52</v>
      </c>
      <c r="BK1" s="23" t="s">
        <v>53</v>
      </c>
      <c r="BL1" s="23" t="s">
        <v>54</v>
      </c>
      <c r="BM1" s="25" t="s">
        <v>55</v>
      </c>
      <c r="BN1" s="24" t="s">
        <v>56</v>
      </c>
      <c r="BO1" s="23" t="s">
        <v>57</v>
      </c>
      <c r="BP1" s="23" t="s">
        <v>58</v>
      </c>
      <c r="BQ1" s="23" t="s">
        <v>59</v>
      </c>
      <c r="BR1" s="23" t="s">
        <v>60</v>
      </c>
      <c r="BS1" s="23" t="s">
        <v>61</v>
      </c>
      <c r="BT1" s="23" t="s">
        <v>62</v>
      </c>
      <c r="BU1" s="25" t="s">
        <v>63</v>
      </c>
      <c r="BV1" s="24" t="s">
        <v>64</v>
      </c>
      <c r="BW1" s="23" t="s">
        <v>65</v>
      </c>
      <c r="BX1" s="23" t="s">
        <v>66</v>
      </c>
      <c r="BY1" s="23" t="s">
        <v>67</v>
      </c>
      <c r="BZ1" s="25" t="s">
        <v>68</v>
      </c>
      <c r="CA1" s="24" t="s">
        <v>69</v>
      </c>
      <c r="CB1" s="23" t="s">
        <v>70</v>
      </c>
      <c r="CC1" s="23" t="s">
        <v>71</v>
      </c>
      <c r="CD1" s="23" t="s">
        <v>72</v>
      </c>
      <c r="CE1" s="25" t="s">
        <v>73</v>
      </c>
      <c r="CF1" s="24" t="s">
        <v>74</v>
      </c>
      <c r="CG1" s="23" t="s">
        <v>75</v>
      </c>
      <c r="CH1" s="23" t="s">
        <v>76</v>
      </c>
      <c r="CI1" s="23" t="s">
        <v>77</v>
      </c>
      <c r="CJ1" s="25" t="s">
        <v>78</v>
      </c>
      <c r="CK1" s="24" t="s">
        <v>79</v>
      </c>
      <c r="CL1" s="23" t="s">
        <v>80</v>
      </c>
      <c r="CM1" s="23" t="s">
        <v>81</v>
      </c>
      <c r="CN1" s="23" t="s">
        <v>82</v>
      </c>
      <c r="CO1" s="25" t="s">
        <v>83</v>
      </c>
      <c r="CP1" s="24" t="s">
        <v>84</v>
      </c>
      <c r="CQ1" s="23" t="s">
        <v>85</v>
      </c>
      <c r="CR1" s="23" t="s">
        <v>86</v>
      </c>
      <c r="CS1" s="23" t="s">
        <v>87</v>
      </c>
      <c r="CT1" s="25" t="s">
        <v>88</v>
      </c>
    </row>
    <row r="2" spans="1:98" ht="15" x14ac:dyDescent="0.25">
      <c r="A2" s="21" t="s">
        <v>128</v>
      </c>
      <c r="B2" s="22">
        <v>75</v>
      </c>
      <c r="C2" s="22">
        <v>73</v>
      </c>
      <c r="D2" s="22">
        <v>72</v>
      </c>
      <c r="E2" s="15">
        <v>73.05</v>
      </c>
      <c r="F2" s="12" t="str">
        <f t="shared" ref="F2:F17" si="0">IF(E2&gt;=70,"PASSED", "---")</f>
        <v>PASSED</v>
      </c>
      <c r="G2" s="20">
        <v>1.921</v>
      </c>
      <c r="H2" s="13">
        <v>45748</v>
      </c>
      <c r="I2" s="1" t="s">
        <v>97</v>
      </c>
      <c r="J2" s="1" t="s">
        <v>96</v>
      </c>
      <c r="K2" s="5"/>
      <c r="L2" s="1" t="s">
        <v>90</v>
      </c>
      <c r="M2" s="1" t="s">
        <v>93</v>
      </c>
      <c r="N2" s="1" t="s">
        <v>91</v>
      </c>
      <c r="O2" s="5"/>
      <c r="P2" s="1" t="s">
        <v>103</v>
      </c>
      <c r="Q2" s="6" t="s">
        <v>91</v>
      </c>
      <c r="R2" s="29"/>
      <c r="S2" s="1" t="s">
        <v>91</v>
      </c>
      <c r="T2" s="2" t="s">
        <v>95</v>
      </c>
      <c r="U2" s="5"/>
      <c r="V2" s="1" t="s">
        <v>90</v>
      </c>
      <c r="W2" s="1" t="s">
        <v>114</v>
      </c>
      <c r="X2" s="1" t="s">
        <v>91</v>
      </c>
      <c r="Y2" s="55"/>
      <c r="Z2" s="56">
        <v>1</v>
      </c>
      <c r="AA2" s="1">
        <v>1</v>
      </c>
      <c r="AB2" s="1">
        <v>2</v>
      </c>
      <c r="AC2" s="1">
        <v>2</v>
      </c>
      <c r="AD2" s="1">
        <v>2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57">
        <v>1</v>
      </c>
      <c r="AL2" s="70">
        <v>3</v>
      </c>
      <c r="AM2" s="1">
        <v>1</v>
      </c>
      <c r="AN2" s="1">
        <v>2</v>
      </c>
      <c r="AO2" s="1">
        <v>3</v>
      </c>
      <c r="AP2" s="1">
        <v>3</v>
      </c>
      <c r="AQ2" s="1">
        <v>3</v>
      </c>
      <c r="AR2" s="1">
        <v>1</v>
      </c>
      <c r="AS2" s="1">
        <v>2</v>
      </c>
      <c r="AT2" s="1">
        <v>3</v>
      </c>
      <c r="AU2" s="1">
        <v>2</v>
      </c>
      <c r="AV2" s="1">
        <v>1</v>
      </c>
      <c r="AW2" s="71">
        <v>1</v>
      </c>
      <c r="AX2" s="56">
        <v>1</v>
      </c>
      <c r="AY2" s="1">
        <v>1</v>
      </c>
      <c r="AZ2" s="1">
        <v>1</v>
      </c>
      <c r="BA2" s="1">
        <v>4</v>
      </c>
      <c r="BB2" s="1">
        <v>3</v>
      </c>
      <c r="BC2" s="1">
        <v>3</v>
      </c>
      <c r="BD2" s="1">
        <v>3</v>
      </c>
      <c r="BE2" s="57">
        <v>2</v>
      </c>
      <c r="BF2" s="56">
        <v>1</v>
      </c>
      <c r="BG2" s="1">
        <v>1</v>
      </c>
      <c r="BH2" s="1">
        <v>1</v>
      </c>
      <c r="BI2" s="1">
        <v>2</v>
      </c>
      <c r="BJ2" s="1">
        <v>3</v>
      </c>
      <c r="BK2" s="1">
        <v>3</v>
      </c>
      <c r="BL2" s="1">
        <v>1</v>
      </c>
      <c r="BM2" s="57">
        <v>2</v>
      </c>
      <c r="BN2" s="56">
        <v>1</v>
      </c>
      <c r="BO2" s="1">
        <v>3</v>
      </c>
      <c r="BP2" s="1">
        <v>2</v>
      </c>
      <c r="BQ2" s="1">
        <v>1</v>
      </c>
      <c r="BR2" s="1">
        <v>3</v>
      </c>
      <c r="BS2" s="1">
        <v>2</v>
      </c>
      <c r="BT2" s="1">
        <v>1</v>
      </c>
      <c r="BU2" s="57">
        <v>1</v>
      </c>
      <c r="BV2" s="56">
        <v>1</v>
      </c>
      <c r="BW2" s="1">
        <v>1</v>
      </c>
      <c r="BX2" s="1">
        <v>1</v>
      </c>
      <c r="BY2" s="1">
        <v>1</v>
      </c>
      <c r="BZ2" s="57">
        <v>1</v>
      </c>
      <c r="CA2" s="56">
        <v>1</v>
      </c>
      <c r="CB2" s="1">
        <v>1</v>
      </c>
      <c r="CC2" s="1">
        <v>1</v>
      </c>
      <c r="CD2" s="1">
        <v>1</v>
      </c>
      <c r="CE2" s="57">
        <v>1</v>
      </c>
      <c r="CF2" s="56">
        <v>2</v>
      </c>
      <c r="CG2" s="1">
        <v>2</v>
      </c>
      <c r="CH2" s="1">
        <v>2</v>
      </c>
      <c r="CI2" s="1">
        <v>2</v>
      </c>
      <c r="CJ2" s="57">
        <v>1</v>
      </c>
      <c r="CK2" s="56">
        <v>1</v>
      </c>
      <c r="CL2" s="1">
        <v>1</v>
      </c>
      <c r="CM2" s="1">
        <v>1</v>
      </c>
      <c r="CN2" s="1">
        <v>1</v>
      </c>
      <c r="CO2" s="57">
        <v>1</v>
      </c>
      <c r="CP2" s="56">
        <v>1</v>
      </c>
      <c r="CQ2" s="1">
        <v>1</v>
      </c>
      <c r="CR2" s="1">
        <v>1</v>
      </c>
      <c r="CS2" s="1">
        <v>1</v>
      </c>
      <c r="CT2" s="57">
        <v>1</v>
      </c>
    </row>
    <row r="3" spans="1:98" ht="15" x14ac:dyDescent="0.25">
      <c r="A3" s="72" t="s">
        <v>129</v>
      </c>
      <c r="B3" s="15">
        <v>77</v>
      </c>
      <c r="C3" s="15">
        <v>83</v>
      </c>
      <c r="D3" s="15">
        <v>78</v>
      </c>
      <c r="E3" s="15">
        <v>79.25</v>
      </c>
      <c r="F3" s="12" t="str">
        <f t="shared" si="0"/>
        <v>PASSED</v>
      </c>
      <c r="G3" s="20">
        <v>1.8485</v>
      </c>
      <c r="H3" s="16">
        <v>45748</v>
      </c>
      <c r="I3" s="6" t="s">
        <v>97</v>
      </c>
      <c r="J3" s="6" t="s">
        <v>96</v>
      </c>
      <c r="K3" s="29"/>
      <c r="L3" s="6" t="s">
        <v>91</v>
      </c>
      <c r="M3" s="29"/>
      <c r="N3" s="6" t="s">
        <v>91</v>
      </c>
      <c r="O3" s="29"/>
      <c r="P3" s="6" t="s">
        <v>99</v>
      </c>
      <c r="Q3" s="3" t="s">
        <v>91</v>
      </c>
      <c r="R3" s="4"/>
      <c r="S3" s="6" t="s">
        <v>91</v>
      </c>
      <c r="T3" s="6" t="s">
        <v>95</v>
      </c>
      <c r="U3" s="29"/>
      <c r="V3" s="6" t="s">
        <v>91</v>
      </c>
      <c r="W3" s="29"/>
      <c r="X3" s="6" t="s">
        <v>91</v>
      </c>
      <c r="Y3" s="30"/>
      <c r="Z3" s="31">
        <v>3</v>
      </c>
      <c r="AA3" s="6">
        <v>2</v>
      </c>
      <c r="AB3" s="6">
        <v>3</v>
      </c>
      <c r="AC3" s="6">
        <v>3</v>
      </c>
      <c r="AD3" s="6">
        <v>3</v>
      </c>
      <c r="AE3" s="6">
        <v>2</v>
      </c>
      <c r="AF3" s="6">
        <v>2</v>
      </c>
      <c r="AG3" s="6">
        <v>3</v>
      </c>
      <c r="AH3" s="6">
        <v>3</v>
      </c>
      <c r="AI3" s="6">
        <v>1</v>
      </c>
      <c r="AJ3" s="6">
        <v>3</v>
      </c>
      <c r="AK3" s="32">
        <v>2</v>
      </c>
      <c r="AL3" s="73">
        <v>3</v>
      </c>
      <c r="AM3" s="6">
        <v>2</v>
      </c>
      <c r="AN3" s="6">
        <v>2</v>
      </c>
      <c r="AO3" s="6">
        <v>3</v>
      </c>
      <c r="AP3" s="6">
        <v>3</v>
      </c>
      <c r="AQ3" s="6">
        <v>3</v>
      </c>
      <c r="AR3" s="6">
        <v>3</v>
      </c>
      <c r="AS3" s="6">
        <v>3</v>
      </c>
      <c r="AT3" s="6">
        <v>3</v>
      </c>
      <c r="AU3" s="6">
        <v>2</v>
      </c>
      <c r="AV3" s="6">
        <v>3</v>
      </c>
      <c r="AW3" s="52">
        <v>3</v>
      </c>
      <c r="AX3" s="31">
        <v>1</v>
      </c>
      <c r="AY3" s="6">
        <v>1</v>
      </c>
      <c r="AZ3" s="6">
        <v>2</v>
      </c>
      <c r="BA3" s="6">
        <v>3</v>
      </c>
      <c r="BB3" s="6">
        <v>3</v>
      </c>
      <c r="BC3" s="6">
        <v>3</v>
      </c>
      <c r="BD3" s="6">
        <v>3</v>
      </c>
      <c r="BE3" s="32">
        <v>3</v>
      </c>
      <c r="BF3" s="31">
        <v>3</v>
      </c>
      <c r="BG3" s="6">
        <v>3</v>
      </c>
      <c r="BH3" s="6">
        <v>3</v>
      </c>
      <c r="BI3" s="6">
        <v>3</v>
      </c>
      <c r="BJ3" s="6">
        <v>3</v>
      </c>
      <c r="BK3" s="6">
        <v>3</v>
      </c>
      <c r="BL3" s="6">
        <v>3</v>
      </c>
      <c r="BM3" s="32">
        <v>3</v>
      </c>
      <c r="BN3" s="31">
        <v>1</v>
      </c>
      <c r="BO3" s="6">
        <v>1</v>
      </c>
      <c r="BP3" s="6">
        <v>2</v>
      </c>
      <c r="BQ3" s="6">
        <v>1</v>
      </c>
      <c r="BR3" s="6">
        <v>3</v>
      </c>
      <c r="BS3" s="6">
        <v>3</v>
      </c>
      <c r="BT3" s="6">
        <v>2</v>
      </c>
      <c r="BU3" s="32">
        <v>2</v>
      </c>
      <c r="BV3" s="31">
        <v>3</v>
      </c>
      <c r="BW3" s="6">
        <v>2</v>
      </c>
      <c r="BX3" s="6">
        <v>3</v>
      </c>
      <c r="BY3" s="6">
        <v>3</v>
      </c>
      <c r="BZ3" s="32">
        <v>3</v>
      </c>
      <c r="CA3" s="31">
        <v>2</v>
      </c>
      <c r="CB3" s="6">
        <v>2</v>
      </c>
      <c r="CC3" s="6">
        <v>3</v>
      </c>
      <c r="CD3" s="6">
        <v>2</v>
      </c>
      <c r="CE3" s="32">
        <v>3</v>
      </c>
      <c r="CF3" s="31">
        <v>3</v>
      </c>
      <c r="CG3" s="6">
        <v>3</v>
      </c>
      <c r="CH3" s="6">
        <v>3</v>
      </c>
      <c r="CI3" s="6">
        <v>3</v>
      </c>
      <c r="CJ3" s="32">
        <v>3</v>
      </c>
      <c r="CK3" s="31">
        <v>3</v>
      </c>
      <c r="CL3" s="6">
        <v>3</v>
      </c>
      <c r="CM3" s="6">
        <v>3</v>
      </c>
      <c r="CN3" s="6">
        <v>3</v>
      </c>
      <c r="CO3" s="32">
        <v>3</v>
      </c>
      <c r="CP3" s="31">
        <v>3</v>
      </c>
      <c r="CQ3" s="6">
        <v>2</v>
      </c>
      <c r="CR3" s="6">
        <v>3</v>
      </c>
      <c r="CS3" s="6">
        <v>3</v>
      </c>
      <c r="CT3" s="32">
        <v>3</v>
      </c>
    </row>
    <row r="4" spans="1:98" ht="15" x14ac:dyDescent="0.25">
      <c r="A4" s="14" t="s">
        <v>130</v>
      </c>
      <c r="B4" s="15">
        <v>60</v>
      </c>
      <c r="C4" s="15">
        <v>80</v>
      </c>
      <c r="D4" s="15">
        <v>72</v>
      </c>
      <c r="E4" s="15">
        <v>71.400000000000006</v>
      </c>
      <c r="F4" s="12" t="str">
        <f t="shared" si="0"/>
        <v>PASSED</v>
      </c>
      <c r="G4" s="20">
        <v>2.0118</v>
      </c>
      <c r="H4" s="16">
        <v>45748</v>
      </c>
      <c r="I4" s="3" t="s">
        <v>106</v>
      </c>
      <c r="J4" s="3" t="s">
        <v>89</v>
      </c>
      <c r="K4" s="3" t="s">
        <v>102</v>
      </c>
      <c r="L4" s="3" t="s">
        <v>91</v>
      </c>
      <c r="M4" s="4"/>
      <c r="N4" s="3" t="s">
        <v>91</v>
      </c>
      <c r="O4" s="4"/>
      <c r="P4" s="3" t="s">
        <v>103</v>
      </c>
      <c r="Q4" s="64" t="s">
        <v>91</v>
      </c>
      <c r="R4" s="74"/>
      <c r="S4" s="3" t="s">
        <v>91</v>
      </c>
      <c r="T4" s="3" t="s">
        <v>119</v>
      </c>
      <c r="U4" s="4"/>
      <c r="V4" s="3" t="s">
        <v>90</v>
      </c>
      <c r="W4" s="3" t="s">
        <v>104</v>
      </c>
      <c r="X4" s="3" t="s">
        <v>91</v>
      </c>
      <c r="Y4" s="26"/>
      <c r="Z4" s="27">
        <v>2</v>
      </c>
      <c r="AA4" s="3">
        <v>1</v>
      </c>
      <c r="AB4" s="3">
        <v>1</v>
      </c>
      <c r="AC4" s="3">
        <v>1</v>
      </c>
      <c r="AD4" s="3">
        <v>2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28">
        <v>1</v>
      </c>
      <c r="AL4" s="75">
        <v>1</v>
      </c>
      <c r="AM4" s="3">
        <v>2</v>
      </c>
      <c r="AN4" s="3">
        <v>2</v>
      </c>
      <c r="AO4" s="3">
        <v>2</v>
      </c>
      <c r="AP4" s="3">
        <v>1</v>
      </c>
      <c r="AQ4" s="3">
        <v>2</v>
      </c>
      <c r="AR4" s="3">
        <v>2</v>
      </c>
      <c r="AS4" s="3">
        <v>2</v>
      </c>
      <c r="AT4" s="3">
        <v>1</v>
      </c>
      <c r="AU4" s="3">
        <v>2</v>
      </c>
      <c r="AV4" s="3">
        <v>2</v>
      </c>
      <c r="AW4" s="76">
        <v>1</v>
      </c>
      <c r="AX4" s="27">
        <v>1</v>
      </c>
      <c r="AY4" s="3">
        <v>1</v>
      </c>
      <c r="AZ4" s="3">
        <v>1</v>
      </c>
      <c r="BA4" s="3">
        <v>2</v>
      </c>
      <c r="BB4" s="3">
        <v>2</v>
      </c>
      <c r="BC4" s="3">
        <v>3</v>
      </c>
      <c r="BD4" s="3">
        <v>3</v>
      </c>
      <c r="BE4" s="28">
        <v>2</v>
      </c>
      <c r="BF4" s="27">
        <v>2</v>
      </c>
      <c r="BG4" s="3">
        <v>1</v>
      </c>
      <c r="BH4" s="3">
        <v>1</v>
      </c>
      <c r="BI4" s="3">
        <v>1</v>
      </c>
      <c r="BJ4" s="3">
        <v>3</v>
      </c>
      <c r="BK4" s="3">
        <v>2</v>
      </c>
      <c r="BL4" s="3">
        <v>2</v>
      </c>
      <c r="BM4" s="28">
        <v>1</v>
      </c>
      <c r="BN4" s="27">
        <v>2</v>
      </c>
      <c r="BO4" s="3">
        <v>2</v>
      </c>
      <c r="BP4" s="3">
        <v>2</v>
      </c>
      <c r="BQ4" s="3">
        <v>2</v>
      </c>
      <c r="BR4" s="3">
        <v>1</v>
      </c>
      <c r="BS4" s="3">
        <v>1</v>
      </c>
      <c r="BT4" s="3">
        <v>3</v>
      </c>
      <c r="BU4" s="28">
        <v>1</v>
      </c>
      <c r="BV4" s="27">
        <v>1</v>
      </c>
      <c r="BW4" s="3">
        <v>1</v>
      </c>
      <c r="BX4" s="3">
        <v>1</v>
      </c>
      <c r="BY4" s="3">
        <v>1</v>
      </c>
      <c r="BZ4" s="28">
        <v>1</v>
      </c>
      <c r="CA4" s="27">
        <v>1</v>
      </c>
      <c r="CB4" s="3">
        <v>1</v>
      </c>
      <c r="CC4" s="3">
        <v>1</v>
      </c>
      <c r="CD4" s="3">
        <v>1</v>
      </c>
      <c r="CE4" s="28">
        <v>1</v>
      </c>
      <c r="CF4" s="27">
        <v>2</v>
      </c>
      <c r="CG4" s="3">
        <v>2</v>
      </c>
      <c r="CH4" s="3">
        <v>3</v>
      </c>
      <c r="CI4" s="3">
        <v>3</v>
      </c>
      <c r="CJ4" s="28">
        <v>2</v>
      </c>
      <c r="CK4" s="27">
        <v>1</v>
      </c>
      <c r="CL4" s="3">
        <v>1</v>
      </c>
      <c r="CM4" s="3">
        <v>3</v>
      </c>
      <c r="CN4" s="3">
        <v>1</v>
      </c>
      <c r="CO4" s="28">
        <v>1</v>
      </c>
      <c r="CP4" s="27">
        <v>1</v>
      </c>
      <c r="CQ4" s="3">
        <v>1</v>
      </c>
      <c r="CR4" s="3">
        <v>1</v>
      </c>
      <c r="CS4" s="3">
        <v>1</v>
      </c>
      <c r="CT4" s="28">
        <v>1</v>
      </c>
    </row>
    <row r="5" spans="1:98" ht="15" x14ac:dyDescent="0.25">
      <c r="A5" s="14" t="s">
        <v>131</v>
      </c>
      <c r="B5" s="15">
        <v>86</v>
      </c>
      <c r="C5" s="15">
        <v>89</v>
      </c>
      <c r="D5" s="15">
        <v>88</v>
      </c>
      <c r="E5" s="15">
        <v>87.8</v>
      </c>
      <c r="F5" s="12" t="str">
        <f t="shared" si="0"/>
        <v>PASSED</v>
      </c>
      <c r="G5" s="20">
        <v>1.5118</v>
      </c>
      <c r="H5" s="16">
        <v>45748</v>
      </c>
      <c r="I5" s="6" t="s">
        <v>97</v>
      </c>
      <c r="J5" s="6" t="s">
        <v>89</v>
      </c>
      <c r="K5" s="6" t="s">
        <v>108</v>
      </c>
      <c r="L5" s="6" t="s">
        <v>90</v>
      </c>
      <c r="M5" s="6" t="s">
        <v>93</v>
      </c>
      <c r="N5" s="6" t="s">
        <v>91</v>
      </c>
      <c r="O5" s="29"/>
      <c r="P5" s="52" t="s">
        <v>94</v>
      </c>
      <c r="Q5" s="53" t="s">
        <v>91</v>
      </c>
      <c r="R5" s="54"/>
      <c r="S5" s="73" t="s">
        <v>90</v>
      </c>
      <c r="T5" s="6" t="s">
        <v>119</v>
      </c>
      <c r="U5" s="6" t="s">
        <v>109</v>
      </c>
      <c r="V5" s="6" t="s">
        <v>90</v>
      </c>
      <c r="W5" s="6" t="s">
        <v>92</v>
      </c>
      <c r="X5" s="6" t="s">
        <v>91</v>
      </c>
      <c r="Y5" s="30"/>
      <c r="Z5" s="31">
        <v>2</v>
      </c>
      <c r="AA5" s="6">
        <v>2</v>
      </c>
      <c r="AB5" s="6">
        <v>1</v>
      </c>
      <c r="AC5" s="6">
        <v>2</v>
      </c>
      <c r="AD5" s="6">
        <v>3</v>
      </c>
      <c r="AE5" s="6">
        <v>2</v>
      </c>
      <c r="AF5" s="6">
        <v>2</v>
      </c>
      <c r="AG5" s="6">
        <v>1</v>
      </c>
      <c r="AH5" s="6">
        <v>2</v>
      </c>
      <c r="AI5" s="6">
        <v>2</v>
      </c>
      <c r="AJ5" s="6">
        <v>3</v>
      </c>
      <c r="AK5" s="32">
        <v>2</v>
      </c>
      <c r="AL5" s="73">
        <v>3</v>
      </c>
      <c r="AM5" s="6">
        <v>3</v>
      </c>
      <c r="AN5" s="6">
        <v>1</v>
      </c>
      <c r="AO5" s="6">
        <v>2</v>
      </c>
      <c r="AP5" s="6">
        <v>3</v>
      </c>
      <c r="AQ5" s="6">
        <v>3</v>
      </c>
      <c r="AR5" s="6">
        <v>3</v>
      </c>
      <c r="AS5" s="6">
        <v>3</v>
      </c>
      <c r="AT5" s="6">
        <v>2</v>
      </c>
      <c r="AU5" s="6">
        <v>2</v>
      </c>
      <c r="AV5" s="6">
        <v>2</v>
      </c>
      <c r="AW5" s="52">
        <v>2</v>
      </c>
      <c r="AX5" s="31">
        <v>1</v>
      </c>
      <c r="AY5" s="6">
        <v>2</v>
      </c>
      <c r="AZ5" s="6">
        <v>1</v>
      </c>
      <c r="BA5" s="6">
        <v>3</v>
      </c>
      <c r="BB5" s="6">
        <v>3</v>
      </c>
      <c r="BC5" s="6">
        <v>1</v>
      </c>
      <c r="BD5" s="6">
        <v>3</v>
      </c>
      <c r="BE5" s="32">
        <v>2</v>
      </c>
      <c r="BF5" s="31">
        <v>2</v>
      </c>
      <c r="BG5" s="6">
        <v>3</v>
      </c>
      <c r="BH5" s="6">
        <v>2</v>
      </c>
      <c r="BI5" s="6">
        <v>2</v>
      </c>
      <c r="BJ5" s="6">
        <v>2</v>
      </c>
      <c r="BK5" s="6">
        <v>1</v>
      </c>
      <c r="BL5" s="6">
        <v>3</v>
      </c>
      <c r="BM5" s="32">
        <v>3</v>
      </c>
      <c r="BN5" s="31">
        <v>1</v>
      </c>
      <c r="BO5" s="6">
        <v>1</v>
      </c>
      <c r="BP5" s="6">
        <v>1</v>
      </c>
      <c r="BQ5" s="6">
        <v>2</v>
      </c>
      <c r="BR5" s="6">
        <v>4</v>
      </c>
      <c r="BS5" s="6">
        <v>2</v>
      </c>
      <c r="BT5" s="6">
        <v>2</v>
      </c>
      <c r="BU5" s="32">
        <v>2</v>
      </c>
      <c r="BV5" s="31">
        <v>2</v>
      </c>
      <c r="BW5" s="6">
        <v>2</v>
      </c>
      <c r="BX5" s="6">
        <v>2</v>
      </c>
      <c r="BY5" s="6">
        <v>2</v>
      </c>
      <c r="BZ5" s="32">
        <v>2</v>
      </c>
      <c r="CA5" s="31">
        <v>1</v>
      </c>
      <c r="CB5" s="6">
        <v>1</v>
      </c>
      <c r="CC5" s="6">
        <v>1</v>
      </c>
      <c r="CD5" s="6">
        <v>1</v>
      </c>
      <c r="CE5" s="32">
        <v>1</v>
      </c>
      <c r="CF5" s="31">
        <v>2</v>
      </c>
      <c r="CG5" s="6">
        <v>2</v>
      </c>
      <c r="CH5" s="6">
        <v>2</v>
      </c>
      <c r="CI5" s="6">
        <v>2</v>
      </c>
      <c r="CJ5" s="32">
        <v>2</v>
      </c>
      <c r="CK5" s="31">
        <v>2</v>
      </c>
      <c r="CL5" s="6">
        <v>2</v>
      </c>
      <c r="CM5" s="6">
        <v>2</v>
      </c>
      <c r="CN5" s="6">
        <v>3</v>
      </c>
      <c r="CO5" s="32">
        <v>2</v>
      </c>
      <c r="CP5" s="31">
        <v>1</v>
      </c>
      <c r="CQ5" s="6">
        <v>1</v>
      </c>
      <c r="CR5" s="6">
        <v>1</v>
      </c>
      <c r="CS5" s="6">
        <v>1</v>
      </c>
      <c r="CT5" s="32">
        <v>1</v>
      </c>
    </row>
    <row r="6" spans="1:98" ht="15" x14ac:dyDescent="0.25">
      <c r="A6" s="14" t="s">
        <v>132</v>
      </c>
      <c r="B6" s="15">
        <v>63</v>
      </c>
      <c r="C6" s="15">
        <v>78</v>
      </c>
      <c r="D6" s="15">
        <v>78</v>
      </c>
      <c r="E6" s="15">
        <v>74.25</v>
      </c>
      <c r="F6" s="12" t="str">
        <f t="shared" si="0"/>
        <v>PASSED</v>
      </c>
      <c r="G6" s="20">
        <v>2.15</v>
      </c>
      <c r="H6" s="16">
        <v>45748</v>
      </c>
      <c r="I6" s="6" t="s">
        <v>97</v>
      </c>
      <c r="J6" s="6" t="s">
        <v>96</v>
      </c>
      <c r="K6" s="29"/>
      <c r="L6" s="6" t="s">
        <v>90</v>
      </c>
      <c r="M6" s="6" t="s">
        <v>93</v>
      </c>
      <c r="N6" s="6" t="s">
        <v>91</v>
      </c>
      <c r="O6" s="29"/>
      <c r="P6" s="52" t="s">
        <v>99</v>
      </c>
      <c r="Q6" s="53" t="s">
        <v>91</v>
      </c>
      <c r="R6" s="54"/>
      <c r="S6" s="73" t="s">
        <v>91</v>
      </c>
      <c r="T6" s="6" t="s">
        <v>95</v>
      </c>
      <c r="U6" s="29"/>
      <c r="V6" s="6" t="s">
        <v>90</v>
      </c>
      <c r="W6" s="6" t="s">
        <v>105</v>
      </c>
      <c r="X6" s="6" t="s">
        <v>91</v>
      </c>
      <c r="Y6" s="30"/>
      <c r="Z6" s="31">
        <v>2</v>
      </c>
      <c r="AA6" s="6">
        <v>1</v>
      </c>
      <c r="AB6" s="6">
        <v>1</v>
      </c>
      <c r="AC6" s="6">
        <v>2</v>
      </c>
      <c r="AD6" s="6">
        <v>2</v>
      </c>
      <c r="AE6" s="6">
        <v>1</v>
      </c>
      <c r="AF6" s="6">
        <v>1</v>
      </c>
      <c r="AG6" s="6">
        <v>1</v>
      </c>
      <c r="AH6" s="6">
        <v>2</v>
      </c>
      <c r="AI6" s="6">
        <v>1</v>
      </c>
      <c r="AJ6" s="6">
        <v>2</v>
      </c>
      <c r="AK6" s="32">
        <v>2</v>
      </c>
      <c r="AL6" s="73">
        <v>2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R6" s="6">
        <v>1</v>
      </c>
      <c r="AS6" s="6">
        <v>2</v>
      </c>
      <c r="AT6" s="6">
        <v>1</v>
      </c>
      <c r="AU6" s="6">
        <v>2</v>
      </c>
      <c r="AV6" s="6">
        <v>2</v>
      </c>
      <c r="AW6" s="52">
        <v>1</v>
      </c>
      <c r="AX6" s="31">
        <v>1</v>
      </c>
      <c r="AY6" s="6">
        <v>1</v>
      </c>
      <c r="AZ6" s="6">
        <v>2</v>
      </c>
      <c r="BA6" s="6">
        <v>3</v>
      </c>
      <c r="BB6" s="6">
        <v>3</v>
      </c>
      <c r="BC6" s="6">
        <v>2</v>
      </c>
      <c r="BD6" s="6">
        <v>1</v>
      </c>
      <c r="BE6" s="32">
        <v>1</v>
      </c>
      <c r="BF6" s="31">
        <v>2</v>
      </c>
      <c r="BG6" s="6">
        <v>1</v>
      </c>
      <c r="BH6" s="6">
        <v>2</v>
      </c>
      <c r="BI6" s="6">
        <v>1</v>
      </c>
      <c r="BJ6" s="6">
        <v>1</v>
      </c>
      <c r="BK6" s="6">
        <v>1</v>
      </c>
      <c r="BL6" s="6">
        <v>2</v>
      </c>
      <c r="BM6" s="32">
        <v>1</v>
      </c>
      <c r="BN6" s="31">
        <v>2</v>
      </c>
      <c r="BO6" s="6">
        <v>2</v>
      </c>
      <c r="BP6" s="6">
        <v>1</v>
      </c>
      <c r="BQ6" s="6">
        <v>1</v>
      </c>
      <c r="BR6" s="6">
        <v>2</v>
      </c>
      <c r="BS6" s="6">
        <v>1</v>
      </c>
      <c r="BT6" s="6">
        <v>1</v>
      </c>
      <c r="BU6" s="32">
        <v>1</v>
      </c>
      <c r="BV6" s="31">
        <v>1</v>
      </c>
      <c r="BW6" s="6">
        <v>2</v>
      </c>
      <c r="BX6" s="6">
        <v>1</v>
      </c>
      <c r="BY6" s="6">
        <v>1</v>
      </c>
      <c r="BZ6" s="32">
        <v>1</v>
      </c>
      <c r="CA6" s="31">
        <v>1</v>
      </c>
      <c r="CB6" s="6">
        <v>2</v>
      </c>
      <c r="CC6" s="6">
        <v>2</v>
      </c>
      <c r="CD6" s="6">
        <v>1</v>
      </c>
      <c r="CE6" s="32">
        <v>1</v>
      </c>
      <c r="CF6" s="31">
        <v>2</v>
      </c>
      <c r="CG6" s="6">
        <v>2</v>
      </c>
      <c r="CH6" s="6">
        <v>2</v>
      </c>
      <c r="CI6" s="6">
        <v>3</v>
      </c>
      <c r="CJ6" s="32">
        <v>1</v>
      </c>
      <c r="CK6" s="31">
        <v>2</v>
      </c>
      <c r="CL6" s="6">
        <v>1</v>
      </c>
      <c r="CM6" s="6">
        <v>2</v>
      </c>
      <c r="CN6" s="6">
        <v>2</v>
      </c>
      <c r="CO6" s="32">
        <v>2</v>
      </c>
      <c r="CP6" s="31">
        <v>2</v>
      </c>
      <c r="CQ6" s="6">
        <v>1</v>
      </c>
      <c r="CR6" s="6">
        <v>1</v>
      </c>
      <c r="CS6" s="6">
        <v>2</v>
      </c>
      <c r="CT6" s="32">
        <v>2</v>
      </c>
    </row>
    <row r="7" spans="1:98" ht="15" x14ac:dyDescent="0.25">
      <c r="A7" s="14" t="s">
        <v>133</v>
      </c>
      <c r="B7" s="15">
        <v>79</v>
      </c>
      <c r="C7" s="15">
        <v>81</v>
      </c>
      <c r="D7" s="15">
        <v>71</v>
      </c>
      <c r="E7" s="15">
        <v>76</v>
      </c>
      <c r="F7" s="12" t="str">
        <f t="shared" si="0"/>
        <v>PASSED</v>
      </c>
      <c r="G7" s="19">
        <v>1.5456000000000001</v>
      </c>
      <c r="H7" s="13">
        <v>45748</v>
      </c>
      <c r="I7" s="18" t="s">
        <v>97</v>
      </c>
      <c r="J7" s="6" t="s">
        <v>96</v>
      </c>
      <c r="K7" s="54"/>
      <c r="L7" s="7" t="s">
        <v>91</v>
      </c>
      <c r="M7" s="53"/>
      <c r="N7" s="7" t="s">
        <v>91</v>
      </c>
      <c r="O7" s="54"/>
      <c r="P7" s="7" t="s">
        <v>94</v>
      </c>
      <c r="Q7" s="53" t="s">
        <v>91</v>
      </c>
      <c r="R7" s="54"/>
      <c r="S7" s="7" t="s">
        <v>91</v>
      </c>
      <c r="T7" s="7" t="s">
        <v>95</v>
      </c>
      <c r="U7" s="77"/>
      <c r="V7" s="6" t="s">
        <v>90</v>
      </c>
      <c r="W7" s="53"/>
      <c r="X7" s="6" t="s">
        <v>91</v>
      </c>
      <c r="Y7" s="54"/>
      <c r="Z7" s="78">
        <v>1</v>
      </c>
      <c r="AA7" s="6">
        <v>1</v>
      </c>
      <c r="AB7" s="6">
        <v>1</v>
      </c>
      <c r="AC7" s="6">
        <v>1</v>
      </c>
      <c r="AD7" s="6">
        <v>3</v>
      </c>
      <c r="AE7" s="3">
        <v>2</v>
      </c>
      <c r="AF7" s="6">
        <v>2</v>
      </c>
      <c r="AG7" s="6">
        <v>2</v>
      </c>
      <c r="AH7" s="6">
        <v>2</v>
      </c>
      <c r="AI7" s="6">
        <v>2</v>
      </c>
      <c r="AJ7" s="6">
        <v>3</v>
      </c>
      <c r="AK7" s="32">
        <v>1</v>
      </c>
      <c r="AL7" s="31">
        <v>1</v>
      </c>
      <c r="AM7" s="6">
        <v>2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2</v>
      </c>
      <c r="AV7" s="6">
        <v>1</v>
      </c>
      <c r="AW7" s="32">
        <v>1</v>
      </c>
      <c r="AX7" s="31">
        <v>1</v>
      </c>
      <c r="AY7" s="6">
        <v>1</v>
      </c>
      <c r="AZ7" s="6">
        <v>1</v>
      </c>
      <c r="BA7" s="6">
        <v>1</v>
      </c>
      <c r="BB7" s="6">
        <v>1</v>
      </c>
      <c r="BC7" s="6">
        <v>1</v>
      </c>
      <c r="BD7" s="6">
        <v>1</v>
      </c>
      <c r="BE7" s="32">
        <v>1</v>
      </c>
      <c r="BF7" s="31">
        <v>2</v>
      </c>
      <c r="BG7" s="6">
        <v>3</v>
      </c>
      <c r="BH7" s="6">
        <v>1</v>
      </c>
      <c r="BI7" s="6">
        <v>1</v>
      </c>
      <c r="BJ7" s="6">
        <v>2</v>
      </c>
      <c r="BK7" s="6">
        <v>2</v>
      </c>
      <c r="BL7" s="6">
        <v>2</v>
      </c>
      <c r="BM7" s="32">
        <v>2</v>
      </c>
      <c r="BN7" s="31">
        <v>2</v>
      </c>
      <c r="BO7" s="6">
        <v>2</v>
      </c>
      <c r="BP7" s="6">
        <v>1</v>
      </c>
      <c r="BQ7" s="6">
        <v>1</v>
      </c>
      <c r="BR7" s="6">
        <v>2</v>
      </c>
      <c r="BS7" s="6">
        <v>1</v>
      </c>
      <c r="BT7" s="6">
        <v>1</v>
      </c>
      <c r="BU7" s="32">
        <v>1</v>
      </c>
      <c r="BV7" s="31">
        <v>2</v>
      </c>
      <c r="BW7" s="6">
        <v>1</v>
      </c>
      <c r="BX7" s="6">
        <v>2</v>
      </c>
      <c r="BY7" s="6">
        <v>2</v>
      </c>
      <c r="BZ7" s="32">
        <v>2</v>
      </c>
      <c r="CA7" s="31">
        <v>1</v>
      </c>
      <c r="CB7" s="6">
        <v>1</v>
      </c>
      <c r="CC7" s="6">
        <v>2</v>
      </c>
      <c r="CD7" s="6">
        <v>1</v>
      </c>
      <c r="CE7" s="32">
        <v>1</v>
      </c>
      <c r="CF7" s="31">
        <v>1</v>
      </c>
      <c r="CG7" s="6">
        <v>1</v>
      </c>
      <c r="CH7" s="6">
        <v>2</v>
      </c>
      <c r="CI7" s="6">
        <v>1</v>
      </c>
      <c r="CJ7" s="32">
        <v>1</v>
      </c>
      <c r="CK7" s="31">
        <v>2</v>
      </c>
      <c r="CL7" s="6">
        <v>2</v>
      </c>
      <c r="CM7" s="6">
        <v>2</v>
      </c>
      <c r="CN7" s="6">
        <v>2</v>
      </c>
      <c r="CO7" s="32">
        <v>2</v>
      </c>
      <c r="CP7" s="31">
        <v>2</v>
      </c>
      <c r="CQ7" s="6">
        <v>1</v>
      </c>
      <c r="CR7" s="6">
        <v>1</v>
      </c>
      <c r="CS7" s="6">
        <v>1</v>
      </c>
      <c r="CT7" s="32">
        <v>1</v>
      </c>
    </row>
    <row r="8" spans="1:98" ht="15" x14ac:dyDescent="0.25">
      <c r="A8" s="14" t="s">
        <v>134</v>
      </c>
      <c r="B8" s="15">
        <v>81</v>
      </c>
      <c r="C8" s="15">
        <v>89</v>
      </c>
      <c r="D8" s="15">
        <v>86</v>
      </c>
      <c r="E8" s="15">
        <v>85.65</v>
      </c>
      <c r="F8" s="12" t="str">
        <f t="shared" si="0"/>
        <v>PASSED</v>
      </c>
      <c r="G8" s="19">
        <v>1.9260999999999999</v>
      </c>
      <c r="H8" s="13">
        <v>45748</v>
      </c>
      <c r="I8" s="1" t="s">
        <v>97</v>
      </c>
      <c r="J8" s="6" t="s">
        <v>96</v>
      </c>
      <c r="K8" s="54"/>
      <c r="L8" s="7" t="s">
        <v>91</v>
      </c>
      <c r="M8" s="53"/>
      <c r="N8" s="7" t="s">
        <v>91</v>
      </c>
      <c r="O8" s="54"/>
      <c r="P8" s="76" t="s">
        <v>103</v>
      </c>
      <c r="Q8" s="53" t="s">
        <v>91</v>
      </c>
      <c r="R8" s="54"/>
      <c r="S8" s="7" t="s">
        <v>91</v>
      </c>
      <c r="T8" s="53" t="s">
        <v>95</v>
      </c>
      <c r="U8" s="77"/>
      <c r="V8" s="6" t="s">
        <v>90</v>
      </c>
      <c r="W8" s="53"/>
      <c r="X8" s="6" t="s">
        <v>91</v>
      </c>
      <c r="Y8" s="54"/>
      <c r="Z8" s="78">
        <v>1</v>
      </c>
      <c r="AA8" s="6">
        <v>1</v>
      </c>
      <c r="AB8" s="6">
        <v>2</v>
      </c>
      <c r="AC8" s="6">
        <v>1</v>
      </c>
      <c r="AD8" s="6">
        <v>1</v>
      </c>
      <c r="AE8" s="3">
        <v>1</v>
      </c>
      <c r="AF8" s="6">
        <v>1</v>
      </c>
      <c r="AG8" s="6">
        <v>1</v>
      </c>
      <c r="AH8" s="6">
        <v>1</v>
      </c>
      <c r="AI8" s="6">
        <v>1</v>
      </c>
      <c r="AJ8" s="6">
        <v>1</v>
      </c>
      <c r="AK8" s="32">
        <v>1</v>
      </c>
      <c r="AL8" s="31">
        <v>1</v>
      </c>
      <c r="AM8" s="6">
        <v>2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6">
        <v>1</v>
      </c>
      <c r="AW8" s="32">
        <v>1</v>
      </c>
      <c r="AX8" s="31">
        <v>1</v>
      </c>
      <c r="AY8" s="6">
        <v>1</v>
      </c>
      <c r="AZ8" s="6">
        <v>1</v>
      </c>
      <c r="BA8" s="6">
        <v>1</v>
      </c>
      <c r="BB8" s="6">
        <v>1</v>
      </c>
      <c r="BC8" s="6">
        <v>1</v>
      </c>
      <c r="BD8" s="6">
        <v>1</v>
      </c>
      <c r="BE8" s="32">
        <v>1</v>
      </c>
      <c r="BF8" s="31">
        <v>2</v>
      </c>
      <c r="BG8" s="6">
        <v>3</v>
      </c>
      <c r="BH8" s="6">
        <v>1</v>
      </c>
      <c r="BI8" s="6">
        <v>1</v>
      </c>
      <c r="BJ8" s="6">
        <v>2</v>
      </c>
      <c r="BK8" s="6">
        <v>1</v>
      </c>
      <c r="BL8" s="6">
        <v>1</v>
      </c>
      <c r="BM8" s="32">
        <v>1</v>
      </c>
      <c r="BN8" s="31">
        <v>2</v>
      </c>
      <c r="BO8" s="6">
        <v>2</v>
      </c>
      <c r="BP8" s="6">
        <v>2</v>
      </c>
      <c r="BQ8" s="6">
        <v>2</v>
      </c>
      <c r="BR8" s="6">
        <v>1</v>
      </c>
      <c r="BS8" s="6">
        <v>1</v>
      </c>
      <c r="BT8" s="6">
        <v>1</v>
      </c>
      <c r="BU8" s="32">
        <v>1</v>
      </c>
      <c r="BV8" s="67">
        <v>1</v>
      </c>
      <c r="BW8" s="65">
        <v>1</v>
      </c>
      <c r="BX8" s="65">
        <v>1</v>
      </c>
      <c r="BY8" s="65">
        <v>1</v>
      </c>
      <c r="BZ8" s="66">
        <v>1</v>
      </c>
      <c r="CA8" s="67">
        <v>1</v>
      </c>
      <c r="CB8" s="65">
        <v>1</v>
      </c>
      <c r="CC8" s="65">
        <v>1</v>
      </c>
      <c r="CD8" s="65">
        <v>1</v>
      </c>
      <c r="CE8" s="66">
        <v>2</v>
      </c>
      <c r="CF8" s="67">
        <v>2</v>
      </c>
      <c r="CG8" s="65">
        <v>2</v>
      </c>
      <c r="CH8" s="65">
        <v>2</v>
      </c>
      <c r="CI8" s="65">
        <v>2</v>
      </c>
      <c r="CJ8" s="66">
        <v>2</v>
      </c>
      <c r="CK8" s="67">
        <v>2</v>
      </c>
      <c r="CL8" s="65">
        <v>2</v>
      </c>
      <c r="CM8" s="65">
        <v>3</v>
      </c>
      <c r="CN8" s="65">
        <v>3</v>
      </c>
      <c r="CO8" s="66">
        <v>2</v>
      </c>
      <c r="CP8" s="67">
        <v>2</v>
      </c>
      <c r="CQ8" s="65">
        <v>2</v>
      </c>
      <c r="CR8" s="65">
        <v>2</v>
      </c>
      <c r="CS8" s="65">
        <v>2</v>
      </c>
      <c r="CT8" s="66">
        <v>3</v>
      </c>
    </row>
    <row r="9" spans="1:98" ht="15" x14ac:dyDescent="0.25">
      <c r="A9" s="14" t="s">
        <v>135</v>
      </c>
      <c r="B9" s="15">
        <v>83</v>
      </c>
      <c r="C9" s="15">
        <v>83</v>
      </c>
      <c r="D9" s="15">
        <v>91</v>
      </c>
      <c r="E9" s="15">
        <v>86.6</v>
      </c>
      <c r="F9" s="12" t="str">
        <f t="shared" si="0"/>
        <v>PASSED</v>
      </c>
      <c r="G9" s="19">
        <v>1.5662</v>
      </c>
      <c r="H9" s="13">
        <v>45748</v>
      </c>
      <c r="I9" s="6" t="s">
        <v>97</v>
      </c>
      <c r="J9" s="6" t="s">
        <v>96</v>
      </c>
      <c r="K9" s="54"/>
      <c r="L9" s="7" t="s">
        <v>91</v>
      </c>
      <c r="M9" s="53"/>
      <c r="N9" s="7" t="s">
        <v>91</v>
      </c>
      <c r="O9" s="54"/>
      <c r="P9" s="7" t="s">
        <v>94</v>
      </c>
      <c r="Q9" s="7" t="s">
        <v>91</v>
      </c>
      <c r="R9" s="54"/>
      <c r="S9" s="7" t="s">
        <v>91</v>
      </c>
      <c r="T9" s="7" t="s">
        <v>95</v>
      </c>
      <c r="U9" s="77"/>
      <c r="V9" s="6" t="s">
        <v>90</v>
      </c>
      <c r="W9" s="53"/>
      <c r="X9" s="6" t="s">
        <v>91</v>
      </c>
      <c r="Y9" s="54"/>
      <c r="Z9" s="78">
        <v>1</v>
      </c>
      <c r="AA9" s="53">
        <v>2</v>
      </c>
      <c r="AB9" s="53">
        <v>2</v>
      </c>
      <c r="AC9" s="53">
        <v>2</v>
      </c>
      <c r="AD9" s="53">
        <v>2</v>
      </c>
      <c r="AE9" s="53">
        <v>2</v>
      </c>
      <c r="AF9" s="53">
        <v>2</v>
      </c>
      <c r="AG9" s="53">
        <v>2</v>
      </c>
      <c r="AH9" s="53">
        <v>2</v>
      </c>
      <c r="AI9" s="53">
        <v>2</v>
      </c>
      <c r="AJ9" s="53">
        <v>2</v>
      </c>
      <c r="AK9" s="63">
        <v>1</v>
      </c>
      <c r="AL9" s="31">
        <v>1</v>
      </c>
      <c r="AM9" s="6">
        <v>1</v>
      </c>
      <c r="AN9" s="6">
        <v>1</v>
      </c>
      <c r="AO9" s="6">
        <v>1</v>
      </c>
      <c r="AP9" s="6">
        <v>2</v>
      </c>
      <c r="AQ9" s="6">
        <v>1</v>
      </c>
      <c r="AR9" s="6">
        <v>1</v>
      </c>
      <c r="AS9" s="6">
        <v>1</v>
      </c>
      <c r="AT9" s="6">
        <v>1</v>
      </c>
      <c r="AU9" s="6">
        <v>2</v>
      </c>
      <c r="AV9" s="6">
        <v>1</v>
      </c>
      <c r="AW9" s="32">
        <v>2</v>
      </c>
      <c r="AX9" s="31">
        <v>1</v>
      </c>
      <c r="AY9" s="6">
        <v>1</v>
      </c>
      <c r="AZ9" s="6">
        <v>1</v>
      </c>
      <c r="BA9" s="6">
        <v>1</v>
      </c>
      <c r="BB9" s="6">
        <v>1</v>
      </c>
      <c r="BC9" s="6">
        <v>1</v>
      </c>
      <c r="BD9" s="6">
        <v>1</v>
      </c>
      <c r="BE9" s="32">
        <v>1</v>
      </c>
      <c r="BF9" s="31">
        <v>1</v>
      </c>
      <c r="BG9" s="6">
        <v>1</v>
      </c>
      <c r="BH9" s="6">
        <v>1</v>
      </c>
      <c r="BI9" s="6">
        <v>1</v>
      </c>
      <c r="BJ9" s="6">
        <v>2</v>
      </c>
      <c r="BK9" s="6">
        <v>1</v>
      </c>
      <c r="BL9" s="6">
        <v>1</v>
      </c>
      <c r="BM9" s="32">
        <v>1</v>
      </c>
      <c r="BN9" s="31">
        <v>1</v>
      </c>
      <c r="BO9" s="6">
        <v>1</v>
      </c>
      <c r="BP9" s="6">
        <v>1</v>
      </c>
      <c r="BQ9" s="6">
        <v>2</v>
      </c>
      <c r="BR9" s="6">
        <v>1</v>
      </c>
      <c r="BS9" s="6">
        <v>2</v>
      </c>
      <c r="BT9" s="6">
        <v>2</v>
      </c>
      <c r="BU9" s="32">
        <v>1</v>
      </c>
      <c r="BV9" s="31">
        <v>2</v>
      </c>
      <c r="BW9" s="6">
        <v>1</v>
      </c>
      <c r="BX9" s="6">
        <v>1</v>
      </c>
      <c r="BY9" s="6">
        <v>2</v>
      </c>
      <c r="BZ9" s="32">
        <v>1</v>
      </c>
      <c r="CA9" s="31">
        <v>2</v>
      </c>
      <c r="CB9" s="6">
        <v>2</v>
      </c>
      <c r="CC9" s="6">
        <v>2</v>
      </c>
      <c r="CD9" s="6">
        <v>1</v>
      </c>
      <c r="CE9" s="32">
        <v>1</v>
      </c>
      <c r="CF9" s="31">
        <v>1</v>
      </c>
      <c r="CG9" s="6">
        <v>1</v>
      </c>
      <c r="CH9" s="6">
        <v>2</v>
      </c>
      <c r="CI9" s="6">
        <v>1</v>
      </c>
      <c r="CJ9" s="32">
        <v>2</v>
      </c>
      <c r="CK9" s="31">
        <v>1</v>
      </c>
      <c r="CL9" s="6">
        <v>1</v>
      </c>
      <c r="CM9" s="6">
        <v>2</v>
      </c>
      <c r="CN9" s="6">
        <v>1</v>
      </c>
      <c r="CO9" s="32">
        <v>1</v>
      </c>
      <c r="CP9" s="31">
        <v>2</v>
      </c>
      <c r="CQ9" s="6">
        <v>1</v>
      </c>
      <c r="CR9" s="6">
        <v>1</v>
      </c>
      <c r="CS9" s="6">
        <v>1</v>
      </c>
      <c r="CT9" s="32">
        <v>1</v>
      </c>
    </row>
    <row r="10" spans="1:98" ht="15" x14ac:dyDescent="0.25">
      <c r="A10" s="14" t="s">
        <v>136</v>
      </c>
      <c r="B10" s="15">
        <v>79</v>
      </c>
      <c r="C10" s="15">
        <v>87</v>
      </c>
      <c r="D10" s="15">
        <v>90</v>
      </c>
      <c r="E10" s="15">
        <v>86.35</v>
      </c>
      <c r="F10" s="12" t="str">
        <f t="shared" si="0"/>
        <v>PASSED</v>
      </c>
      <c r="G10" s="19">
        <v>1.59</v>
      </c>
      <c r="H10" s="16">
        <v>45748</v>
      </c>
      <c r="I10" s="18" t="s">
        <v>97</v>
      </c>
      <c r="J10" s="6" t="s">
        <v>96</v>
      </c>
      <c r="K10" s="54"/>
      <c r="L10" s="7" t="s">
        <v>91</v>
      </c>
      <c r="M10" s="53"/>
      <c r="N10" s="7" t="s">
        <v>91</v>
      </c>
      <c r="O10" s="54"/>
      <c r="P10" s="76" t="s">
        <v>103</v>
      </c>
      <c r="Q10" s="7" t="s">
        <v>91</v>
      </c>
      <c r="R10" s="54"/>
      <c r="S10" s="7" t="s">
        <v>91</v>
      </c>
      <c r="T10" s="53" t="s">
        <v>95</v>
      </c>
      <c r="U10" s="77"/>
      <c r="V10" s="6" t="s">
        <v>90</v>
      </c>
      <c r="W10" s="53"/>
      <c r="X10" s="6" t="s">
        <v>91</v>
      </c>
      <c r="Y10" s="54"/>
      <c r="Z10" s="78">
        <v>1</v>
      </c>
      <c r="AA10" s="53">
        <v>1</v>
      </c>
      <c r="AB10" s="53">
        <v>1</v>
      </c>
      <c r="AC10" s="53">
        <v>1</v>
      </c>
      <c r="AD10" s="53">
        <v>1</v>
      </c>
      <c r="AE10" s="53">
        <v>1</v>
      </c>
      <c r="AF10" s="53">
        <v>1</v>
      </c>
      <c r="AG10" s="53">
        <v>1</v>
      </c>
      <c r="AH10" s="53">
        <v>1</v>
      </c>
      <c r="AI10" s="53">
        <v>2</v>
      </c>
      <c r="AJ10" s="53">
        <v>2</v>
      </c>
      <c r="AK10" s="63">
        <v>1</v>
      </c>
      <c r="AL10" s="31">
        <v>1</v>
      </c>
      <c r="AM10" s="6">
        <v>1</v>
      </c>
      <c r="AN10" s="6">
        <v>1</v>
      </c>
      <c r="AO10" s="6">
        <v>1</v>
      </c>
      <c r="AP10" s="6">
        <v>2</v>
      </c>
      <c r="AQ10" s="6">
        <v>1</v>
      </c>
      <c r="AR10" s="6">
        <v>1</v>
      </c>
      <c r="AS10" s="6">
        <v>1</v>
      </c>
      <c r="AT10" s="6">
        <v>1</v>
      </c>
      <c r="AU10" s="6">
        <v>2</v>
      </c>
      <c r="AV10" s="6">
        <v>2</v>
      </c>
      <c r="AW10" s="32">
        <v>2</v>
      </c>
      <c r="AX10" s="31">
        <v>1</v>
      </c>
      <c r="AY10" s="6">
        <v>1</v>
      </c>
      <c r="AZ10" s="6">
        <v>1</v>
      </c>
      <c r="BA10" s="6">
        <v>1</v>
      </c>
      <c r="BB10" s="6">
        <v>1</v>
      </c>
      <c r="BC10" s="6">
        <v>3</v>
      </c>
      <c r="BD10" s="6">
        <v>1</v>
      </c>
      <c r="BE10" s="32">
        <v>1</v>
      </c>
      <c r="BF10" s="31">
        <v>1</v>
      </c>
      <c r="BG10" s="6">
        <v>3</v>
      </c>
      <c r="BH10" s="6">
        <v>1</v>
      </c>
      <c r="BI10" s="6">
        <v>1</v>
      </c>
      <c r="BJ10" s="6">
        <v>2</v>
      </c>
      <c r="BK10" s="6">
        <v>1</v>
      </c>
      <c r="BL10" s="6">
        <v>2</v>
      </c>
      <c r="BM10" s="32">
        <v>2</v>
      </c>
      <c r="BN10" s="31">
        <v>2</v>
      </c>
      <c r="BO10" s="6">
        <v>2</v>
      </c>
      <c r="BP10" s="6">
        <v>1</v>
      </c>
      <c r="BQ10" s="6">
        <v>1</v>
      </c>
      <c r="BR10" s="6">
        <v>2</v>
      </c>
      <c r="BS10" s="6">
        <v>2</v>
      </c>
      <c r="BT10" s="6">
        <v>1</v>
      </c>
      <c r="BU10" s="32">
        <v>1</v>
      </c>
      <c r="BV10" s="67">
        <v>1</v>
      </c>
      <c r="BW10" s="65">
        <v>1</v>
      </c>
      <c r="BX10" s="65">
        <v>1</v>
      </c>
      <c r="BY10" s="65">
        <v>1</v>
      </c>
      <c r="BZ10" s="66">
        <v>1</v>
      </c>
      <c r="CA10" s="67">
        <v>1</v>
      </c>
      <c r="CB10" s="65">
        <v>1</v>
      </c>
      <c r="CC10" s="65">
        <v>1</v>
      </c>
      <c r="CD10" s="65">
        <v>1</v>
      </c>
      <c r="CE10" s="66">
        <v>2</v>
      </c>
      <c r="CF10" s="67">
        <v>2</v>
      </c>
      <c r="CG10" s="65">
        <v>2</v>
      </c>
      <c r="CH10" s="65">
        <v>2</v>
      </c>
      <c r="CI10" s="65">
        <v>2</v>
      </c>
      <c r="CJ10" s="66">
        <v>2</v>
      </c>
      <c r="CK10" s="67">
        <v>2</v>
      </c>
      <c r="CL10" s="65">
        <v>2</v>
      </c>
      <c r="CM10" s="65">
        <v>3</v>
      </c>
      <c r="CN10" s="65">
        <v>3</v>
      </c>
      <c r="CO10" s="66">
        <v>2</v>
      </c>
      <c r="CP10" s="67">
        <v>2</v>
      </c>
      <c r="CQ10" s="65">
        <v>2</v>
      </c>
      <c r="CR10" s="65">
        <v>2</v>
      </c>
      <c r="CS10" s="65">
        <v>2</v>
      </c>
      <c r="CT10" s="66">
        <v>3</v>
      </c>
    </row>
    <row r="11" spans="1:98" ht="15" x14ac:dyDescent="0.25">
      <c r="A11" s="14" t="s">
        <v>137</v>
      </c>
      <c r="B11" s="15">
        <v>69</v>
      </c>
      <c r="C11" s="15">
        <v>77</v>
      </c>
      <c r="D11" s="15">
        <v>80</v>
      </c>
      <c r="E11" s="15">
        <v>76.349999999999994</v>
      </c>
      <c r="F11" s="12" t="str">
        <f t="shared" si="0"/>
        <v>PASSED</v>
      </c>
      <c r="G11" s="20">
        <v>2.0289000000000001</v>
      </c>
      <c r="H11" s="16">
        <v>45748</v>
      </c>
      <c r="I11" s="3" t="s">
        <v>106</v>
      </c>
      <c r="J11" s="6" t="s">
        <v>89</v>
      </c>
      <c r="K11" s="54" t="s">
        <v>121</v>
      </c>
      <c r="L11" s="7" t="s">
        <v>90</v>
      </c>
      <c r="M11" s="7" t="s">
        <v>164</v>
      </c>
      <c r="N11" s="7" t="s">
        <v>90</v>
      </c>
      <c r="O11" s="7" t="s">
        <v>112</v>
      </c>
      <c r="P11" s="53" t="s">
        <v>99</v>
      </c>
      <c r="Q11" s="53" t="s">
        <v>91</v>
      </c>
      <c r="R11" s="54"/>
      <c r="S11" s="7" t="s">
        <v>91</v>
      </c>
      <c r="T11" s="7" t="s">
        <v>95</v>
      </c>
      <c r="U11" s="77"/>
      <c r="V11" s="6" t="s">
        <v>90</v>
      </c>
      <c r="W11" s="53"/>
      <c r="X11" s="6" t="s">
        <v>91</v>
      </c>
      <c r="Y11" s="54"/>
      <c r="Z11" s="78">
        <v>2</v>
      </c>
      <c r="AA11" s="6">
        <v>2</v>
      </c>
      <c r="AB11" s="6">
        <v>1</v>
      </c>
      <c r="AC11" s="6">
        <v>1</v>
      </c>
      <c r="AD11" s="6">
        <v>1</v>
      </c>
      <c r="AE11" s="3">
        <v>1</v>
      </c>
      <c r="AF11" s="6">
        <v>1</v>
      </c>
      <c r="AG11" s="6">
        <v>2</v>
      </c>
      <c r="AH11" s="6">
        <v>2</v>
      </c>
      <c r="AI11" s="6">
        <v>2</v>
      </c>
      <c r="AJ11" s="6">
        <v>2</v>
      </c>
      <c r="AK11" s="32">
        <v>2</v>
      </c>
      <c r="AL11" s="31">
        <v>2</v>
      </c>
      <c r="AM11" s="6">
        <v>2</v>
      </c>
      <c r="AN11" s="6">
        <v>2</v>
      </c>
      <c r="AO11" s="6">
        <v>2</v>
      </c>
      <c r="AP11" s="6">
        <v>2</v>
      </c>
      <c r="AQ11" s="6">
        <v>2</v>
      </c>
      <c r="AR11" s="6">
        <v>2</v>
      </c>
      <c r="AS11" s="6">
        <v>2</v>
      </c>
      <c r="AT11" s="6">
        <v>2</v>
      </c>
      <c r="AU11" s="6">
        <v>2</v>
      </c>
      <c r="AV11" s="6">
        <v>2</v>
      </c>
      <c r="AW11" s="32">
        <v>2</v>
      </c>
      <c r="AX11" s="31">
        <v>1</v>
      </c>
      <c r="AY11" s="6">
        <v>1</v>
      </c>
      <c r="AZ11" s="6">
        <v>1</v>
      </c>
      <c r="BA11" s="6">
        <v>1</v>
      </c>
      <c r="BB11" s="6">
        <v>1</v>
      </c>
      <c r="BC11" s="6">
        <v>1</v>
      </c>
      <c r="BD11" s="6">
        <v>1</v>
      </c>
      <c r="BE11" s="32">
        <v>1</v>
      </c>
      <c r="BF11" s="31">
        <v>2</v>
      </c>
      <c r="BG11" s="6">
        <v>3</v>
      </c>
      <c r="BH11" s="6">
        <v>2</v>
      </c>
      <c r="BI11" s="6">
        <v>2</v>
      </c>
      <c r="BJ11" s="6">
        <v>2</v>
      </c>
      <c r="BK11" s="6">
        <v>2</v>
      </c>
      <c r="BL11" s="6">
        <v>2</v>
      </c>
      <c r="BM11" s="32">
        <v>2</v>
      </c>
      <c r="BN11" s="31">
        <v>2</v>
      </c>
      <c r="BO11" s="6">
        <v>2</v>
      </c>
      <c r="BP11" s="6">
        <v>2</v>
      </c>
      <c r="BQ11" s="6">
        <v>2</v>
      </c>
      <c r="BR11" s="6">
        <v>1</v>
      </c>
      <c r="BS11" s="6">
        <v>1</v>
      </c>
      <c r="BT11" s="6">
        <v>2</v>
      </c>
      <c r="BU11" s="32">
        <v>2</v>
      </c>
      <c r="BV11" s="31">
        <v>2</v>
      </c>
      <c r="BW11" s="6">
        <v>1</v>
      </c>
      <c r="BX11" s="6">
        <v>1</v>
      </c>
      <c r="BY11" s="6">
        <v>1</v>
      </c>
      <c r="BZ11" s="32">
        <v>1</v>
      </c>
      <c r="CA11" s="31">
        <v>1</v>
      </c>
      <c r="CB11" s="6">
        <v>1</v>
      </c>
      <c r="CC11" s="6">
        <v>2</v>
      </c>
      <c r="CD11" s="6">
        <v>1</v>
      </c>
      <c r="CE11" s="32">
        <v>1</v>
      </c>
      <c r="CF11" s="31">
        <v>1</v>
      </c>
      <c r="CG11" s="6">
        <v>1</v>
      </c>
      <c r="CH11" s="6">
        <v>2</v>
      </c>
      <c r="CI11" s="6">
        <v>1</v>
      </c>
      <c r="CJ11" s="32">
        <v>1</v>
      </c>
      <c r="CK11" s="31">
        <v>1</v>
      </c>
      <c r="CL11" s="6">
        <v>1</v>
      </c>
      <c r="CM11" s="6">
        <v>2</v>
      </c>
      <c r="CN11" s="6">
        <v>1</v>
      </c>
      <c r="CO11" s="32">
        <v>1</v>
      </c>
      <c r="CP11" s="31">
        <v>2</v>
      </c>
      <c r="CQ11" s="6">
        <v>1</v>
      </c>
      <c r="CR11" s="6">
        <v>1</v>
      </c>
      <c r="CS11" s="6">
        <v>1</v>
      </c>
      <c r="CT11" s="32">
        <v>1</v>
      </c>
    </row>
    <row r="12" spans="1:98" ht="15" x14ac:dyDescent="0.25">
      <c r="A12" s="14" t="s">
        <v>138</v>
      </c>
      <c r="B12" s="15">
        <v>79</v>
      </c>
      <c r="C12" s="15">
        <v>80</v>
      </c>
      <c r="D12" s="15">
        <v>78</v>
      </c>
      <c r="E12" s="15">
        <v>78.849999999999994</v>
      </c>
      <c r="F12" s="12" t="str">
        <f t="shared" si="0"/>
        <v>PASSED</v>
      </c>
      <c r="G12" s="20">
        <v>1.62</v>
      </c>
      <c r="H12" s="16">
        <v>45748</v>
      </c>
      <c r="I12" s="6" t="s">
        <v>97</v>
      </c>
      <c r="J12" s="6" t="s">
        <v>96</v>
      </c>
      <c r="K12" s="54"/>
      <c r="L12" s="7" t="s">
        <v>91</v>
      </c>
      <c r="M12" s="53"/>
      <c r="N12" s="7" t="s">
        <v>91</v>
      </c>
      <c r="O12" s="54"/>
      <c r="P12" s="7" t="s">
        <v>94</v>
      </c>
      <c r="Q12" s="53" t="s">
        <v>91</v>
      </c>
      <c r="R12" s="54"/>
      <c r="S12" s="7" t="s">
        <v>91</v>
      </c>
      <c r="T12" s="53" t="s">
        <v>95</v>
      </c>
      <c r="U12" s="77"/>
      <c r="V12" s="6" t="s">
        <v>90</v>
      </c>
      <c r="W12" s="53"/>
      <c r="X12" s="6" t="s">
        <v>91</v>
      </c>
      <c r="Y12" s="54"/>
      <c r="Z12" s="78">
        <v>1</v>
      </c>
      <c r="AA12" s="53">
        <v>2</v>
      </c>
      <c r="AB12" s="53">
        <v>2</v>
      </c>
      <c r="AC12" s="53">
        <v>2</v>
      </c>
      <c r="AD12" s="53">
        <v>2</v>
      </c>
      <c r="AE12" s="53">
        <v>2</v>
      </c>
      <c r="AF12" s="53">
        <v>2</v>
      </c>
      <c r="AG12" s="53">
        <v>2</v>
      </c>
      <c r="AH12" s="53">
        <v>2</v>
      </c>
      <c r="AI12" s="53">
        <v>2</v>
      </c>
      <c r="AJ12" s="53">
        <v>2</v>
      </c>
      <c r="AK12" s="63">
        <v>2</v>
      </c>
      <c r="AL12" s="31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1</v>
      </c>
      <c r="AW12" s="32">
        <v>1</v>
      </c>
      <c r="AX12" s="31">
        <v>1</v>
      </c>
      <c r="AY12" s="6">
        <v>1</v>
      </c>
      <c r="AZ12" s="6">
        <v>1</v>
      </c>
      <c r="BA12" s="6">
        <v>1</v>
      </c>
      <c r="BB12" s="6">
        <v>1</v>
      </c>
      <c r="BC12" s="6">
        <v>1</v>
      </c>
      <c r="BD12" s="6">
        <v>1</v>
      </c>
      <c r="BE12" s="32">
        <v>1</v>
      </c>
      <c r="BF12" s="31">
        <v>2</v>
      </c>
      <c r="BG12" s="6">
        <v>3</v>
      </c>
      <c r="BH12" s="6">
        <v>1</v>
      </c>
      <c r="BI12" s="6">
        <v>1</v>
      </c>
      <c r="BJ12" s="6">
        <v>2</v>
      </c>
      <c r="BK12" s="6">
        <v>2</v>
      </c>
      <c r="BL12" s="6">
        <v>2</v>
      </c>
      <c r="BM12" s="32">
        <v>2</v>
      </c>
      <c r="BN12" s="31">
        <v>1</v>
      </c>
      <c r="BO12" s="6">
        <v>1</v>
      </c>
      <c r="BP12" s="6">
        <v>1</v>
      </c>
      <c r="BQ12" s="6">
        <v>1</v>
      </c>
      <c r="BR12" s="6">
        <v>1</v>
      </c>
      <c r="BS12" s="6">
        <v>2</v>
      </c>
      <c r="BT12" s="6">
        <v>1</v>
      </c>
      <c r="BU12" s="32">
        <v>1</v>
      </c>
      <c r="BV12" s="31">
        <v>2</v>
      </c>
      <c r="BW12" s="6">
        <v>1</v>
      </c>
      <c r="BX12" s="6">
        <v>2</v>
      </c>
      <c r="BY12" s="6">
        <v>2</v>
      </c>
      <c r="BZ12" s="32">
        <v>2</v>
      </c>
      <c r="CA12" s="31">
        <v>1</v>
      </c>
      <c r="CB12" s="6">
        <v>1</v>
      </c>
      <c r="CC12" s="6">
        <v>2</v>
      </c>
      <c r="CD12" s="6">
        <v>1</v>
      </c>
      <c r="CE12" s="32">
        <v>1</v>
      </c>
      <c r="CF12" s="31">
        <v>1</v>
      </c>
      <c r="CG12" s="6">
        <v>1</v>
      </c>
      <c r="CH12" s="6">
        <v>2</v>
      </c>
      <c r="CI12" s="6">
        <v>2</v>
      </c>
      <c r="CJ12" s="32">
        <v>2</v>
      </c>
      <c r="CK12" s="31">
        <v>1</v>
      </c>
      <c r="CL12" s="6">
        <v>1</v>
      </c>
      <c r="CM12" s="6">
        <v>2</v>
      </c>
      <c r="CN12" s="6">
        <v>1</v>
      </c>
      <c r="CO12" s="32">
        <v>1</v>
      </c>
      <c r="CP12" s="31">
        <v>2</v>
      </c>
      <c r="CQ12" s="6">
        <v>1</v>
      </c>
      <c r="CR12" s="6">
        <v>1</v>
      </c>
      <c r="CS12" s="6">
        <v>1</v>
      </c>
      <c r="CT12" s="32">
        <v>1</v>
      </c>
    </row>
    <row r="13" spans="1:98" ht="15" x14ac:dyDescent="0.25">
      <c r="A13" s="14" t="s">
        <v>139</v>
      </c>
      <c r="B13" s="15">
        <v>80</v>
      </c>
      <c r="C13" s="15">
        <v>87</v>
      </c>
      <c r="D13" s="15">
        <v>89</v>
      </c>
      <c r="E13" s="15">
        <v>86.15</v>
      </c>
      <c r="F13" s="12" t="str">
        <f t="shared" si="0"/>
        <v>PASSED</v>
      </c>
      <c r="G13" s="20">
        <v>1.94</v>
      </c>
      <c r="H13" s="16">
        <v>45748</v>
      </c>
      <c r="I13" s="18" t="s">
        <v>97</v>
      </c>
      <c r="J13" s="6" t="s">
        <v>96</v>
      </c>
      <c r="K13" s="54"/>
      <c r="L13" s="7" t="s">
        <v>91</v>
      </c>
      <c r="M13" s="53"/>
      <c r="N13" s="7" t="s">
        <v>91</v>
      </c>
      <c r="O13" s="54"/>
      <c r="P13" s="76" t="s">
        <v>103</v>
      </c>
      <c r="Q13" s="53" t="s">
        <v>91</v>
      </c>
      <c r="R13" s="54"/>
      <c r="S13" s="7" t="s">
        <v>91</v>
      </c>
      <c r="T13" s="53" t="s">
        <v>95</v>
      </c>
      <c r="U13" s="77"/>
      <c r="V13" s="6" t="s">
        <v>90</v>
      </c>
      <c r="W13" s="53"/>
      <c r="X13" s="6" t="s">
        <v>91</v>
      </c>
      <c r="Y13" s="54"/>
      <c r="Z13" s="78">
        <v>1</v>
      </c>
      <c r="AA13" s="6">
        <v>1</v>
      </c>
      <c r="AB13" s="6">
        <v>2</v>
      </c>
      <c r="AC13" s="6">
        <v>3</v>
      </c>
      <c r="AD13" s="6">
        <v>2</v>
      </c>
      <c r="AE13" s="3">
        <v>2</v>
      </c>
      <c r="AF13" s="6">
        <v>2</v>
      </c>
      <c r="AG13" s="6">
        <v>2</v>
      </c>
      <c r="AH13" s="6">
        <v>2</v>
      </c>
      <c r="AI13" s="6">
        <v>2</v>
      </c>
      <c r="AJ13" s="6">
        <v>3</v>
      </c>
      <c r="AK13" s="32">
        <v>2</v>
      </c>
      <c r="AL13" s="31">
        <v>1</v>
      </c>
      <c r="AM13" s="6">
        <v>2</v>
      </c>
      <c r="AN13" s="6">
        <v>1</v>
      </c>
      <c r="AO13" s="6">
        <v>1</v>
      </c>
      <c r="AP13" s="6">
        <v>2</v>
      </c>
      <c r="AQ13" s="6">
        <v>1</v>
      </c>
      <c r="AR13" s="6">
        <v>1</v>
      </c>
      <c r="AS13" s="6">
        <v>1</v>
      </c>
      <c r="AT13" s="6">
        <v>1</v>
      </c>
      <c r="AU13" s="6">
        <v>2</v>
      </c>
      <c r="AV13" s="6">
        <v>1</v>
      </c>
      <c r="AW13" s="32">
        <v>1</v>
      </c>
      <c r="AX13" s="31">
        <v>1</v>
      </c>
      <c r="AY13" s="6">
        <v>1</v>
      </c>
      <c r="AZ13" s="6">
        <v>1</v>
      </c>
      <c r="BA13" s="6">
        <v>1</v>
      </c>
      <c r="BB13" s="6">
        <v>1</v>
      </c>
      <c r="BC13" s="6">
        <v>1</v>
      </c>
      <c r="BD13" s="6">
        <v>1</v>
      </c>
      <c r="BE13" s="32">
        <v>1</v>
      </c>
      <c r="BF13" s="31">
        <v>2</v>
      </c>
      <c r="BG13" s="6">
        <v>3</v>
      </c>
      <c r="BH13" s="6">
        <v>1</v>
      </c>
      <c r="BI13" s="6">
        <v>1</v>
      </c>
      <c r="BJ13" s="6">
        <v>2</v>
      </c>
      <c r="BK13" s="6">
        <v>2</v>
      </c>
      <c r="BL13" s="6">
        <v>2</v>
      </c>
      <c r="BM13" s="32">
        <v>2</v>
      </c>
      <c r="BN13" s="31">
        <v>2</v>
      </c>
      <c r="BO13" s="6">
        <v>2</v>
      </c>
      <c r="BP13" s="6">
        <v>2</v>
      </c>
      <c r="BQ13" s="6">
        <v>2</v>
      </c>
      <c r="BR13" s="6">
        <v>2</v>
      </c>
      <c r="BS13" s="6">
        <v>2</v>
      </c>
      <c r="BT13" s="6">
        <v>2</v>
      </c>
      <c r="BU13" s="32">
        <v>1</v>
      </c>
      <c r="BV13" s="67">
        <v>1</v>
      </c>
      <c r="BW13" s="65">
        <v>1</v>
      </c>
      <c r="BX13" s="65">
        <v>1</v>
      </c>
      <c r="BY13" s="65">
        <v>1</v>
      </c>
      <c r="BZ13" s="66">
        <v>1</v>
      </c>
      <c r="CA13" s="67">
        <v>1</v>
      </c>
      <c r="CB13" s="65">
        <v>1</v>
      </c>
      <c r="CC13" s="65">
        <v>1</v>
      </c>
      <c r="CD13" s="65">
        <v>1</v>
      </c>
      <c r="CE13" s="66">
        <v>2</v>
      </c>
      <c r="CF13" s="67">
        <v>2</v>
      </c>
      <c r="CG13" s="65">
        <v>2</v>
      </c>
      <c r="CH13" s="65">
        <v>2</v>
      </c>
      <c r="CI13" s="65">
        <v>2</v>
      </c>
      <c r="CJ13" s="66">
        <v>2</v>
      </c>
      <c r="CK13" s="67">
        <v>2</v>
      </c>
      <c r="CL13" s="65">
        <v>2</v>
      </c>
      <c r="CM13" s="65">
        <v>3</v>
      </c>
      <c r="CN13" s="65">
        <v>3</v>
      </c>
      <c r="CO13" s="66">
        <v>2</v>
      </c>
      <c r="CP13" s="67">
        <v>2</v>
      </c>
      <c r="CQ13" s="65">
        <v>2</v>
      </c>
      <c r="CR13" s="65">
        <v>2</v>
      </c>
      <c r="CS13" s="65">
        <v>2</v>
      </c>
      <c r="CT13" s="66">
        <v>2</v>
      </c>
    </row>
    <row r="14" spans="1:98" ht="15" x14ac:dyDescent="0.25">
      <c r="A14" s="14" t="s">
        <v>140</v>
      </c>
      <c r="B14" s="15">
        <v>82</v>
      </c>
      <c r="C14" s="15">
        <v>88</v>
      </c>
      <c r="D14" s="15">
        <v>83</v>
      </c>
      <c r="E14" s="15">
        <v>84.25</v>
      </c>
      <c r="F14" s="12" t="str">
        <f t="shared" si="0"/>
        <v>PASSED</v>
      </c>
      <c r="G14" s="20">
        <v>1.54</v>
      </c>
      <c r="H14" s="16">
        <v>45748</v>
      </c>
      <c r="I14" s="1" t="s">
        <v>97</v>
      </c>
      <c r="J14" s="6" t="s">
        <v>96</v>
      </c>
      <c r="K14" s="54"/>
      <c r="L14" s="7" t="s">
        <v>91</v>
      </c>
      <c r="M14" s="53"/>
      <c r="N14" s="7" t="s">
        <v>91</v>
      </c>
      <c r="O14" s="54"/>
      <c r="P14" s="76" t="s">
        <v>103</v>
      </c>
      <c r="Q14" s="53" t="s">
        <v>91</v>
      </c>
      <c r="R14" s="54"/>
      <c r="S14" s="7" t="s">
        <v>91</v>
      </c>
      <c r="T14" s="7" t="s">
        <v>95</v>
      </c>
      <c r="U14" s="77"/>
      <c r="V14" s="6" t="s">
        <v>90</v>
      </c>
      <c r="W14" s="53"/>
      <c r="X14" s="6" t="s">
        <v>91</v>
      </c>
      <c r="Y14" s="54"/>
      <c r="Z14" s="78">
        <v>1</v>
      </c>
      <c r="AA14" s="53">
        <v>1</v>
      </c>
      <c r="AB14" s="53">
        <v>1</v>
      </c>
      <c r="AC14" s="53">
        <v>1</v>
      </c>
      <c r="AD14" s="53">
        <v>1</v>
      </c>
      <c r="AE14" s="53">
        <v>1</v>
      </c>
      <c r="AF14" s="53">
        <v>1</v>
      </c>
      <c r="AG14" s="53">
        <v>1</v>
      </c>
      <c r="AH14" s="53">
        <v>1</v>
      </c>
      <c r="AI14" s="53">
        <v>1</v>
      </c>
      <c r="AJ14" s="53">
        <v>1</v>
      </c>
      <c r="AK14" s="63">
        <v>2</v>
      </c>
      <c r="AL14" s="31">
        <v>1</v>
      </c>
      <c r="AM14" s="6">
        <v>2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2</v>
      </c>
      <c r="AV14" s="6">
        <v>1</v>
      </c>
      <c r="AW14" s="32">
        <v>2</v>
      </c>
      <c r="AX14" s="31">
        <v>1</v>
      </c>
      <c r="AY14" s="6">
        <v>1</v>
      </c>
      <c r="AZ14" s="6">
        <v>1</v>
      </c>
      <c r="BA14" s="6">
        <v>1</v>
      </c>
      <c r="BB14" s="6">
        <v>1</v>
      </c>
      <c r="BC14" s="6">
        <v>3</v>
      </c>
      <c r="BD14" s="6">
        <v>1</v>
      </c>
      <c r="BE14" s="32">
        <v>1</v>
      </c>
      <c r="BF14" s="31">
        <v>2</v>
      </c>
      <c r="BG14" s="6">
        <v>3</v>
      </c>
      <c r="BH14" s="6">
        <v>1</v>
      </c>
      <c r="BI14" s="6">
        <v>1</v>
      </c>
      <c r="BJ14" s="6">
        <v>2</v>
      </c>
      <c r="BK14" s="6">
        <v>1</v>
      </c>
      <c r="BL14" s="6">
        <v>1</v>
      </c>
      <c r="BM14" s="32">
        <v>1</v>
      </c>
      <c r="BN14" s="31">
        <v>1</v>
      </c>
      <c r="BO14" s="6">
        <v>2</v>
      </c>
      <c r="BP14" s="6">
        <v>2</v>
      </c>
      <c r="BQ14" s="6">
        <v>2</v>
      </c>
      <c r="BR14" s="6">
        <v>2</v>
      </c>
      <c r="BS14" s="6">
        <v>1</v>
      </c>
      <c r="BT14" s="6">
        <v>1</v>
      </c>
      <c r="BU14" s="32">
        <v>1</v>
      </c>
      <c r="BV14" s="67">
        <v>1</v>
      </c>
      <c r="BW14" s="65">
        <v>1</v>
      </c>
      <c r="BX14" s="65">
        <v>1</v>
      </c>
      <c r="BY14" s="65">
        <v>1</v>
      </c>
      <c r="BZ14" s="66">
        <v>1</v>
      </c>
      <c r="CA14" s="67">
        <v>1</v>
      </c>
      <c r="CB14" s="65">
        <v>1</v>
      </c>
      <c r="CC14" s="65">
        <v>1</v>
      </c>
      <c r="CD14" s="65">
        <v>1</v>
      </c>
      <c r="CE14" s="66">
        <v>2</v>
      </c>
      <c r="CF14" s="67">
        <v>2</v>
      </c>
      <c r="CG14" s="65">
        <v>3</v>
      </c>
      <c r="CH14" s="65">
        <v>2</v>
      </c>
      <c r="CI14" s="65">
        <v>2</v>
      </c>
      <c r="CJ14" s="66">
        <v>2</v>
      </c>
      <c r="CK14" s="67">
        <v>2</v>
      </c>
      <c r="CL14" s="65">
        <v>2</v>
      </c>
      <c r="CM14" s="65">
        <v>3</v>
      </c>
      <c r="CN14" s="65">
        <v>3</v>
      </c>
      <c r="CO14" s="66">
        <v>2</v>
      </c>
      <c r="CP14" s="67">
        <v>2</v>
      </c>
      <c r="CQ14" s="65">
        <v>2</v>
      </c>
      <c r="CR14" s="65">
        <v>2</v>
      </c>
      <c r="CS14" s="65">
        <v>2</v>
      </c>
      <c r="CT14" s="66">
        <v>2</v>
      </c>
    </row>
    <row r="15" spans="1:98" ht="15" x14ac:dyDescent="0.25">
      <c r="A15" s="14" t="s">
        <v>141</v>
      </c>
      <c r="B15" s="15">
        <v>74</v>
      </c>
      <c r="C15" s="15">
        <v>80</v>
      </c>
      <c r="D15" s="15">
        <v>77</v>
      </c>
      <c r="E15" s="15">
        <v>77.150000000000006</v>
      </c>
      <c r="F15" s="12" t="str">
        <f t="shared" si="0"/>
        <v>PASSED</v>
      </c>
      <c r="G15" s="20">
        <v>2.0335000000000001</v>
      </c>
      <c r="H15" s="16">
        <v>45748</v>
      </c>
      <c r="I15" s="18" t="s">
        <v>97</v>
      </c>
      <c r="J15" s="6" t="s">
        <v>96</v>
      </c>
      <c r="K15" s="54"/>
      <c r="L15" s="7" t="s">
        <v>91</v>
      </c>
      <c r="M15" s="53"/>
      <c r="N15" s="7" t="s">
        <v>91</v>
      </c>
      <c r="O15" s="54"/>
      <c r="P15" s="53" t="s">
        <v>99</v>
      </c>
      <c r="Q15" s="7" t="s">
        <v>91</v>
      </c>
      <c r="R15" s="54"/>
      <c r="S15" s="7" t="s">
        <v>91</v>
      </c>
      <c r="T15" s="53" t="s">
        <v>95</v>
      </c>
      <c r="U15" s="77"/>
      <c r="V15" s="6" t="s">
        <v>90</v>
      </c>
      <c r="W15" s="53"/>
      <c r="X15" s="6" t="s">
        <v>91</v>
      </c>
      <c r="Y15" s="54"/>
      <c r="Z15" s="78">
        <v>1</v>
      </c>
      <c r="AA15" s="6">
        <v>1</v>
      </c>
      <c r="AB15" s="6">
        <v>2</v>
      </c>
      <c r="AC15" s="6">
        <v>2</v>
      </c>
      <c r="AD15" s="6">
        <v>2</v>
      </c>
      <c r="AE15" s="3">
        <v>2</v>
      </c>
      <c r="AF15" s="6">
        <v>2</v>
      </c>
      <c r="AG15" s="6">
        <v>2</v>
      </c>
      <c r="AH15" s="6">
        <v>2</v>
      </c>
      <c r="AI15" s="6">
        <v>2</v>
      </c>
      <c r="AJ15" s="6">
        <v>2</v>
      </c>
      <c r="AK15" s="32">
        <v>2</v>
      </c>
      <c r="AL15" s="31">
        <v>1</v>
      </c>
      <c r="AM15" s="6">
        <v>2</v>
      </c>
      <c r="AN15" s="6">
        <v>1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2</v>
      </c>
      <c r="AV15" s="6">
        <v>2</v>
      </c>
      <c r="AW15" s="32">
        <v>2</v>
      </c>
      <c r="AX15" s="31">
        <v>2</v>
      </c>
      <c r="AY15" s="6">
        <v>2</v>
      </c>
      <c r="AZ15" s="6">
        <v>2</v>
      </c>
      <c r="BA15" s="6">
        <v>2</v>
      </c>
      <c r="BB15" s="6">
        <v>2</v>
      </c>
      <c r="BC15" s="6">
        <v>2</v>
      </c>
      <c r="BD15" s="6">
        <v>1</v>
      </c>
      <c r="BE15" s="32">
        <v>1</v>
      </c>
      <c r="BF15" s="31">
        <v>1</v>
      </c>
      <c r="BG15" s="6">
        <v>1</v>
      </c>
      <c r="BH15" s="6">
        <v>1</v>
      </c>
      <c r="BI15" s="6">
        <v>1</v>
      </c>
      <c r="BJ15" s="6">
        <v>2</v>
      </c>
      <c r="BK15" s="6">
        <v>1</v>
      </c>
      <c r="BL15" s="6">
        <v>2</v>
      </c>
      <c r="BM15" s="32">
        <v>1</v>
      </c>
      <c r="BN15" s="27">
        <v>2</v>
      </c>
      <c r="BO15" s="3">
        <v>1</v>
      </c>
      <c r="BP15" s="3">
        <v>1</v>
      </c>
      <c r="BQ15" s="3">
        <v>1</v>
      </c>
      <c r="BR15" s="3">
        <v>2</v>
      </c>
      <c r="BS15" s="3">
        <v>1</v>
      </c>
      <c r="BT15" s="3">
        <v>2</v>
      </c>
      <c r="BU15" s="28">
        <v>2</v>
      </c>
      <c r="BV15" s="31">
        <v>1</v>
      </c>
      <c r="BW15" s="6">
        <v>1</v>
      </c>
      <c r="BX15" s="6">
        <v>1</v>
      </c>
      <c r="BY15" s="6">
        <v>2</v>
      </c>
      <c r="BZ15" s="32">
        <v>2</v>
      </c>
      <c r="CA15" s="31">
        <v>2</v>
      </c>
      <c r="CB15" s="6">
        <v>2</v>
      </c>
      <c r="CC15" s="6">
        <v>2</v>
      </c>
      <c r="CD15" s="6">
        <v>1</v>
      </c>
      <c r="CE15" s="32">
        <v>2</v>
      </c>
      <c r="CF15" s="31">
        <v>1</v>
      </c>
      <c r="CG15" s="6">
        <v>1</v>
      </c>
      <c r="CH15" s="6">
        <v>2</v>
      </c>
      <c r="CI15" s="6">
        <v>1</v>
      </c>
      <c r="CJ15" s="32">
        <v>2</v>
      </c>
      <c r="CK15" s="31">
        <v>1</v>
      </c>
      <c r="CL15" s="6">
        <v>2</v>
      </c>
      <c r="CM15" s="6">
        <v>2</v>
      </c>
      <c r="CN15" s="6">
        <v>1</v>
      </c>
      <c r="CO15" s="32">
        <v>1</v>
      </c>
      <c r="CP15" s="31">
        <v>2</v>
      </c>
      <c r="CQ15" s="6">
        <v>1</v>
      </c>
      <c r="CR15" s="6">
        <v>1</v>
      </c>
      <c r="CS15" s="6">
        <v>1</v>
      </c>
      <c r="CT15" s="32">
        <v>1</v>
      </c>
    </row>
    <row r="16" spans="1:98" ht="15" x14ac:dyDescent="0.25">
      <c r="A16" s="14" t="s">
        <v>142</v>
      </c>
      <c r="B16" s="15">
        <v>77</v>
      </c>
      <c r="C16" s="15">
        <v>84</v>
      </c>
      <c r="D16" s="15">
        <v>81</v>
      </c>
      <c r="E16" s="15">
        <v>80.900000000000006</v>
      </c>
      <c r="F16" s="12" t="str">
        <f t="shared" si="0"/>
        <v>PASSED</v>
      </c>
      <c r="G16" s="20">
        <v>1.7869999999999999</v>
      </c>
      <c r="H16" s="16">
        <v>45748</v>
      </c>
      <c r="I16" s="1" t="s">
        <v>97</v>
      </c>
      <c r="J16" s="6" t="s">
        <v>96</v>
      </c>
      <c r="K16" s="54"/>
      <c r="L16" s="7" t="s">
        <v>91</v>
      </c>
      <c r="M16" s="53"/>
      <c r="N16" s="7" t="s">
        <v>91</v>
      </c>
      <c r="O16" s="54"/>
      <c r="P16" s="7" t="s">
        <v>94</v>
      </c>
      <c r="Q16" s="7" t="s">
        <v>91</v>
      </c>
      <c r="R16" s="54"/>
      <c r="S16" s="7" t="s">
        <v>91</v>
      </c>
      <c r="T16" s="7" t="s">
        <v>95</v>
      </c>
      <c r="U16" s="77"/>
      <c r="V16" s="6" t="s">
        <v>90</v>
      </c>
      <c r="W16" s="53"/>
      <c r="X16" s="6" t="s">
        <v>91</v>
      </c>
      <c r="Y16" s="54"/>
      <c r="Z16" s="78">
        <v>1</v>
      </c>
      <c r="AA16" s="6">
        <v>1</v>
      </c>
      <c r="AB16" s="6">
        <v>1</v>
      </c>
      <c r="AC16" s="6">
        <v>2</v>
      </c>
      <c r="AD16" s="6">
        <v>2</v>
      </c>
      <c r="AE16" s="3">
        <v>2</v>
      </c>
      <c r="AF16" s="6">
        <v>2</v>
      </c>
      <c r="AG16" s="6">
        <v>1</v>
      </c>
      <c r="AH16" s="6">
        <v>1</v>
      </c>
      <c r="AI16" s="6">
        <v>1</v>
      </c>
      <c r="AJ16" s="6">
        <v>1</v>
      </c>
      <c r="AK16" s="32">
        <v>1</v>
      </c>
      <c r="AL16" s="31">
        <v>2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R16" s="6">
        <v>2</v>
      </c>
      <c r="AS16" s="6">
        <v>2</v>
      </c>
      <c r="AT16" s="6">
        <v>2</v>
      </c>
      <c r="AU16" s="6">
        <v>2</v>
      </c>
      <c r="AV16" s="6">
        <v>2</v>
      </c>
      <c r="AW16" s="32">
        <v>2</v>
      </c>
      <c r="AX16" s="31">
        <v>1</v>
      </c>
      <c r="AY16" s="6">
        <v>1</v>
      </c>
      <c r="AZ16" s="6">
        <v>1</v>
      </c>
      <c r="BA16" s="6">
        <v>1</v>
      </c>
      <c r="BB16" s="6">
        <v>1</v>
      </c>
      <c r="BC16" s="6">
        <v>2</v>
      </c>
      <c r="BD16" s="6">
        <v>1</v>
      </c>
      <c r="BE16" s="32">
        <v>1</v>
      </c>
      <c r="BF16" s="31">
        <v>1</v>
      </c>
      <c r="BG16" s="6">
        <v>3</v>
      </c>
      <c r="BH16" s="6">
        <v>1</v>
      </c>
      <c r="BI16" s="6">
        <v>1</v>
      </c>
      <c r="BJ16" s="6">
        <v>2</v>
      </c>
      <c r="BK16" s="6">
        <v>1</v>
      </c>
      <c r="BL16" s="6">
        <v>2</v>
      </c>
      <c r="BM16" s="32">
        <v>2</v>
      </c>
      <c r="BN16" s="27">
        <v>2</v>
      </c>
      <c r="BO16" s="3">
        <v>2</v>
      </c>
      <c r="BP16" s="3">
        <v>2</v>
      </c>
      <c r="BQ16" s="3">
        <v>2</v>
      </c>
      <c r="BR16" s="3">
        <v>2</v>
      </c>
      <c r="BS16" s="3">
        <v>2</v>
      </c>
      <c r="BT16" s="3">
        <v>2</v>
      </c>
      <c r="BU16" s="28">
        <v>2</v>
      </c>
      <c r="BV16" s="67">
        <v>1</v>
      </c>
      <c r="BW16" s="65">
        <v>1</v>
      </c>
      <c r="BX16" s="65">
        <v>1</v>
      </c>
      <c r="BY16" s="65">
        <v>1</v>
      </c>
      <c r="BZ16" s="66">
        <v>1</v>
      </c>
      <c r="CA16" s="67">
        <v>1</v>
      </c>
      <c r="CB16" s="65">
        <v>1</v>
      </c>
      <c r="CC16" s="65">
        <v>1</v>
      </c>
      <c r="CD16" s="65">
        <v>1</v>
      </c>
      <c r="CE16" s="66">
        <v>1</v>
      </c>
      <c r="CF16" s="67">
        <v>2</v>
      </c>
      <c r="CG16" s="65">
        <v>2</v>
      </c>
      <c r="CH16" s="65">
        <v>2</v>
      </c>
      <c r="CI16" s="65">
        <v>2</v>
      </c>
      <c r="CJ16" s="66">
        <v>2</v>
      </c>
      <c r="CK16" s="67">
        <v>2</v>
      </c>
      <c r="CL16" s="65">
        <v>2</v>
      </c>
      <c r="CM16" s="65">
        <v>3</v>
      </c>
      <c r="CN16" s="65">
        <v>3</v>
      </c>
      <c r="CO16" s="66">
        <v>2</v>
      </c>
      <c r="CP16" s="67">
        <v>2</v>
      </c>
      <c r="CQ16" s="65">
        <v>2</v>
      </c>
      <c r="CR16" s="65">
        <v>2</v>
      </c>
      <c r="CS16" s="65">
        <v>2</v>
      </c>
      <c r="CT16" s="66">
        <v>2</v>
      </c>
    </row>
    <row r="17" spans="1:98" ht="15" x14ac:dyDescent="0.25">
      <c r="A17" s="14" t="s">
        <v>143</v>
      </c>
      <c r="B17" s="15">
        <v>67</v>
      </c>
      <c r="C17" s="15">
        <v>76</v>
      </c>
      <c r="D17" s="15">
        <v>74</v>
      </c>
      <c r="E17" s="15">
        <v>72.849999999999994</v>
      </c>
      <c r="F17" s="12" t="str">
        <f t="shared" si="0"/>
        <v>PASSED</v>
      </c>
      <c r="G17" s="20">
        <v>2.1212</v>
      </c>
      <c r="H17" s="16">
        <v>45748</v>
      </c>
      <c r="I17" s="6" t="s">
        <v>97</v>
      </c>
      <c r="J17" s="6" t="s">
        <v>96</v>
      </c>
      <c r="K17" s="54"/>
      <c r="L17" s="7" t="s">
        <v>90</v>
      </c>
      <c r="M17" s="53" t="s">
        <v>110</v>
      </c>
      <c r="N17" s="7" t="s">
        <v>90</v>
      </c>
      <c r="O17" s="7" t="s">
        <v>112</v>
      </c>
      <c r="P17" s="53" t="s">
        <v>99</v>
      </c>
      <c r="Q17" s="7" t="s">
        <v>91</v>
      </c>
      <c r="R17" s="54"/>
      <c r="S17" s="7" t="s">
        <v>91</v>
      </c>
      <c r="T17" s="53" t="s">
        <v>95</v>
      </c>
      <c r="U17" s="77"/>
      <c r="V17" s="6" t="s">
        <v>90</v>
      </c>
      <c r="W17" s="53"/>
      <c r="X17" s="64" t="s">
        <v>91</v>
      </c>
      <c r="Y17" s="54"/>
      <c r="Z17" s="78">
        <v>3</v>
      </c>
      <c r="AA17" s="53">
        <v>2</v>
      </c>
      <c r="AB17" s="53">
        <v>2</v>
      </c>
      <c r="AC17" s="53">
        <v>2</v>
      </c>
      <c r="AD17" s="53">
        <v>2</v>
      </c>
      <c r="AE17" s="53">
        <v>2</v>
      </c>
      <c r="AF17" s="53">
        <v>2</v>
      </c>
      <c r="AG17" s="53">
        <v>2</v>
      </c>
      <c r="AH17" s="53">
        <v>2</v>
      </c>
      <c r="AI17" s="53">
        <v>2</v>
      </c>
      <c r="AJ17" s="53">
        <v>2</v>
      </c>
      <c r="AK17" s="63">
        <v>2</v>
      </c>
      <c r="AL17" s="31">
        <v>1</v>
      </c>
      <c r="AM17" s="6">
        <v>1</v>
      </c>
      <c r="AN17" s="6">
        <v>1</v>
      </c>
      <c r="AO17" s="6">
        <v>1</v>
      </c>
      <c r="AP17" s="6">
        <v>2</v>
      </c>
      <c r="AQ17" s="6">
        <v>1</v>
      </c>
      <c r="AR17" s="6">
        <v>1</v>
      </c>
      <c r="AS17" s="6">
        <v>1</v>
      </c>
      <c r="AT17" s="6">
        <v>1</v>
      </c>
      <c r="AU17" s="6">
        <v>2</v>
      </c>
      <c r="AV17" s="6">
        <v>2</v>
      </c>
      <c r="AW17" s="32">
        <v>2</v>
      </c>
      <c r="AX17" s="31">
        <v>2</v>
      </c>
      <c r="AY17" s="6">
        <v>2</v>
      </c>
      <c r="AZ17" s="6">
        <v>2</v>
      </c>
      <c r="BA17" s="6">
        <v>2</v>
      </c>
      <c r="BB17" s="6">
        <v>2</v>
      </c>
      <c r="BC17" s="6">
        <v>2</v>
      </c>
      <c r="BD17" s="6">
        <v>1</v>
      </c>
      <c r="BE17" s="32">
        <v>1</v>
      </c>
      <c r="BF17" s="31">
        <v>2</v>
      </c>
      <c r="BG17" s="6">
        <v>3</v>
      </c>
      <c r="BH17" s="6">
        <v>2</v>
      </c>
      <c r="BI17" s="6">
        <v>2</v>
      </c>
      <c r="BJ17" s="6">
        <v>2</v>
      </c>
      <c r="BK17" s="6">
        <v>2</v>
      </c>
      <c r="BL17" s="6">
        <v>2</v>
      </c>
      <c r="BM17" s="32">
        <v>2</v>
      </c>
      <c r="BN17" s="62">
        <v>2</v>
      </c>
      <c r="BO17" s="53">
        <v>2</v>
      </c>
      <c r="BP17" s="53">
        <v>2</v>
      </c>
      <c r="BQ17" s="53">
        <v>2</v>
      </c>
      <c r="BR17" s="53">
        <v>2</v>
      </c>
      <c r="BS17" s="53">
        <v>2</v>
      </c>
      <c r="BT17" s="53">
        <v>2</v>
      </c>
      <c r="BU17" s="63">
        <v>2</v>
      </c>
      <c r="BV17" s="31">
        <v>2</v>
      </c>
      <c r="BW17" s="6">
        <v>2</v>
      </c>
      <c r="BX17" s="6">
        <v>2</v>
      </c>
      <c r="BY17" s="6">
        <v>2</v>
      </c>
      <c r="BZ17" s="32">
        <v>2</v>
      </c>
      <c r="CA17" s="31">
        <v>2</v>
      </c>
      <c r="CB17" s="6">
        <v>2</v>
      </c>
      <c r="CC17" s="6">
        <v>2</v>
      </c>
      <c r="CD17" s="6">
        <v>1</v>
      </c>
      <c r="CE17" s="32">
        <v>2</v>
      </c>
      <c r="CF17" s="31">
        <v>1</v>
      </c>
      <c r="CG17" s="6">
        <v>1</v>
      </c>
      <c r="CH17" s="6">
        <v>2</v>
      </c>
      <c r="CI17" s="6">
        <v>2</v>
      </c>
      <c r="CJ17" s="32">
        <v>2</v>
      </c>
      <c r="CK17" s="31">
        <v>2</v>
      </c>
      <c r="CL17" s="6">
        <v>1</v>
      </c>
      <c r="CM17" s="6">
        <v>2</v>
      </c>
      <c r="CN17" s="6">
        <v>2</v>
      </c>
      <c r="CO17" s="32">
        <v>2</v>
      </c>
      <c r="CP17" s="31">
        <v>2</v>
      </c>
      <c r="CQ17" s="6">
        <v>1</v>
      </c>
      <c r="CR17" s="6">
        <v>2</v>
      </c>
      <c r="CS17" s="6">
        <v>1</v>
      </c>
      <c r="CT17" s="32">
        <v>2</v>
      </c>
    </row>
    <row r="18" spans="1:98" ht="15" x14ac:dyDescent="0.25">
      <c r="A18" s="14" t="s">
        <v>148</v>
      </c>
      <c r="B18" s="15">
        <v>59</v>
      </c>
      <c r="C18" s="15">
        <v>64</v>
      </c>
      <c r="D18" s="15">
        <v>50</v>
      </c>
      <c r="E18" s="17">
        <v>56.45</v>
      </c>
      <c r="F18" s="12" t="s">
        <v>126</v>
      </c>
      <c r="G18" s="47">
        <v>1.9319</v>
      </c>
      <c r="H18" s="35">
        <v>45748</v>
      </c>
      <c r="I18" s="3" t="s">
        <v>106</v>
      </c>
      <c r="J18" s="48" t="s">
        <v>96</v>
      </c>
      <c r="K18" s="49"/>
      <c r="L18" s="48" t="s">
        <v>96</v>
      </c>
      <c r="M18" s="49"/>
      <c r="N18" s="48" t="s">
        <v>90</v>
      </c>
      <c r="O18" s="48" t="s">
        <v>162</v>
      </c>
      <c r="P18" s="48" t="s">
        <v>94</v>
      </c>
      <c r="Q18" s="38" t="s">
        <v>91</v>
      </c>
      <c r="R18" s="42"/>
      <c r="S18" s="50" t="s">
        <v>90</v>
      </c>
      <c r="T18" s="50" t="s">
        <v>95</v>
      </c>
      <c r="U18" s="50" t="s">
        <v>168</v>
      </c>
      <c r="V18" s="50" t="s">
        <v>91</v>
      </c>
      <c r="W18" s="49"/>
      <c r="X18" s="50" t="s">
        <v>90</v>
      </c>
      <c r="Y18" s="43" t="s">
        <v>100</v>
      </c>
      <c r="Z18" s="44">
        <v>3</v>
      </c>
      <c r="AA18" s="38">
        <v>1</v>
      </c>
      <c r="AB18" s="38">
        <v>2</v>
      </c>
      <c r="AC18" s="38">
        <v>2</v>
      </c>
      <c r="AD18" s="38">
        <v>3</v>
      </c>
      <c r="AE18" s="38">
        <v>2</v>
      </c>
      <c r="AF18" s="38">
        <v>2</v>
      </c>
      <c r="AG18" s="38">
        <v>2</v>
      </c>
      <c r="AH18" s="38">
        <v>2</v>
      </c>
      <c r="AI18" s="38">
        <v>2</v>
      </c>
      <c r="AJ18" s="38">
        <v>2</v>
      </c>
      <c r="AK18" s="45">
        <v>2</v>
      </c>
      <c r="AL18" s="79">
        <v>2</v>
      </c>
      <c r="AM18" s="38">
        <v>2</v>
      </c>
      <c r="AN18" s="38">
        <v>2</v>
      </c>
      <c r="AO18" s="38">
        <v>2</v>
      </c>
      <c r="AP18" s="38">
        <v>2</v>
      </c>
      <c r="AQ18" s="38">
        <v>2</v>
      </c>
      <c r="AR18" s="38">
        <v>1</v>
      </c>
      <c r="AS18" s="38">
        <v>1</v>
      </c>
      <c r="AT18" s="38">
        <v>3</v>
      </c>
      <c r="AU18" s="38">
        <v>1</v>
      </c>
      <c r="AV18" s="38">
        <v>1</v>
      </c>
      <c r="AW18" s="43">
        <v>2</v>
      </c>
      <c r="AX18" s="44">
        <v>4</v>
      </c>
      <c r="AY18" s="38">
        <v>1</v>
      </c>
      <c r="AZ18" s="38">
        <v>1</v>
      </c>
      <c r="BA18" s="38">
        <v>1</v>
      </c>
      <c r="BB18" s="38">
        <v>1</v>
      </c>
      <c r="BC18" s="38">
        <v>1</v>
      </c>
      <c r="BD18" s="38">
        <v>1</v>
      </c>
      <c r="BE18" s="45">
        <v>1</v>
      </c>
      <c r="BF18" s="44">
        <v>1</v>
      </c>
      <c r="BG18" s="38">
        <v>1</v>
      </c>
      <c r="BH18" s="38">
        <v>2</v>
      </c>
      <c r="BI18" s="38">
        <v>1</v>
      </c>
      <c r="BJ18" s="38">
        <v>1</v>
      </c>
      <c r="BK18" s="38">
        <v>1</v>
      </c>
      <c r="BL18" s="38">
        <v>2</v>
      </c>
      <c r="BM18" s="45">
        <v>4</v>
      </c>
      <c r="BN18" s="44">
        <v>1</v>
      </c>
      <c r="BO18" s="38">
        <v>1</v>
      </c>
      <c r="BP18" s="38">
        <v>1</v>
      </c>
      <c r="BQ18" s="38">
        <v>1</v>
      </c>
      <c r="BR18" s="38">
        <v>2</v>
      </c>
      <c r="BS18" s="38">
        <v>2</v>
      </c>
      <c r="BT18" s="38">
        <v>1</v>
      </c>
      <c r="BU18" s="45">
        <v>2</v>
      </c>
      <c r="BV18" s="44">
        <v>1</v>
      </c>
      <c r="BW18" s="38">
        <v>1</v>
      </c>
      <c r="BX18" s="38">
        <v>1</v>
      </c>
      <c r="BY18" s="38">
        <v>1</v>
      </c>
      <c r="BZ18" s="45">
        <v>3</v>
      </c>
      <c r="CA18" s="44">
        <v>4</v>
      </c>
      <c r="CB18" s="38">
        <v>3</v>
      </c>
      <c r="CC18" s="38">
        <v>3</v>
      </c>
      <c r="CD18" s="38">
        <v>3</v>
      </c>
      <c r="CE18" s="45">
        <v>2</v>
      </c>
      <c r="CF18" s="44">
        <v>2</v>
      </c>
      <c r="CG18" s="38">
        <v>3</v>
      </c>
      <c r="CH18" s="38">
        <v>3</v>
      </c>
      <c r="CI18" s="38">
        <v>3</v>
      </c>
      <c r="CJ18" s="45">
        <v>2</v>
      </c>
      <c r="CK18" s="44">
        <v>1</v>
      </c>
      <c r="CL18" s="38">
        <v>2</v>
      </c>
      <c r="CM18" s="38">
        <v>2</v>
      </c>
      <c r="CN18" s="38">
        <v>2</v>
      </c>
      <c r="CO18" s="45">
        <v>3</v>
      </c>
      <c r="CP18" s="44">
        <v>2</v>
      </c>
      <c r="CQ18" s="38">
        <v>3</v>
      </c>
      <c r="CR18" s="38">
        <v>2</v>
      </c>
      <c r="CS18" s="38">
        <v>2</v>
      </c>
      <c r="CT18" s="41">
        <v>1</v>
      </c>
    </row>
    <row r="19" spans="1:98" ht="15" x14ac:dyDescent="0.25">
      <c r="A19" s="80" t="s">
        <v>127</v>
      </c>
      <c r="B19" s="46">
        <v>70</v>
      </c>
      <c r="C19" s="46">
        <v>70</v>
      </c>
      <c r="D19" s="46">
        <v>70</v>
      </c>
      <c r="E19" s="33">
        <v>67.849999999999994</v>
      </c>
      <c r="F19" s="34" t="s">
        <v>126</v>
      </c>
      <c r="G19" s="47">
        <v>2.1652</v>
      </c>
      <c r="H19" s="35">
        <v>45748</v>
      </c>
      <c r="I19" s="48" t="s">
        <v>97</v>
      </c>
      <c r="J19" s="48" t="s">
        <v>96</v>
      </c>
      <c r="K19" s="49"/>
      <c r="L19" s="48" t="s">
        <v>96</v>
      </c>
      <c r="M19" s="49"/>
      <c r="N19" s="48" t="s">
        <v>91</v>
      </c>
      <c r="O19" s="49"/>
      <c r="P19" s="48" t="s">
        <v>94</v>
      </c>
      <c r="Q19" s="36" t="s">
        <v>91</v>
      </c>
      <c r="R19" s="37"/>
      <c r="S19" s="50" t="s">
        <v>90</v>
      </c>
      <c r="T19" s="50" t="s">
        <v>119</v>
      </c>
      <c r="U19" s="50" t="s">
        <v>169</v>
      </c>
      <c r="V19" s="50" t="s">
        <v>90</v>
      </c>
      <c r="W19" s="36" t="s">
        <v>105</v>
      </c>
      <c r="X19" s="50" t="s">
        <v>90</v>
      </c>
      <c r="Y19" s="81" t="s">
        <v>163</v>
      </c>
      <c r="Z19" s="44">
        <v>1</v>
      </c>
      <c r="AA19" s="38">
        <v>2</v>
      </c>
      <c r="AB19" s="38">
        <v>3</v>
      </c>
      <c r="AC19" s="38">
        <v>2</v>
      </c>
      <c r="AD19" s="38">
        <v>2</v>
      </c>
      <c r="AE19" s="38">
        <v>2</v>
      </c>
      <c r="AF19" s="38">
        <v>2</v>
      </c>
      <c r="AG19" s="38">
        <v>2</v>
      </c>
      <c r="AH19" s="38">
        <v>2</v>
      </c>
      <c r="AI19" s="38">
        <v>2</v>
      </c>
      <c r="AJ19" s="38">
        <v>2</v>
      </c>
      <c r="AK19" s="45">
        <v>2</v>
      </c>
      <c r="AL19" s="79">
        <v>1</v>
      </c>
      <c r="AM19" s="38">
        <v>2</v>
      </c>
      <c r="AN19" s="38">
        <v>1</v>
      </c>
      <c r="AO19" s="38">
        <v>1</v>
      </c>
      <c r="AP19" s="38">
        <v>2</v>
      </c>
      <c r="AQ19" s="38">
        <v>1</v>
      </c>
      <c r="AR19" s="38">
        <v>1</v>
      </c>
      <c r="AS19" s="38">
        <v>1</v>
      </c>
      <c r="AT19" s="38">
        <v>1</v>
      </c>
      <c r="AU19" s="38">
        <v>1</v>
      </c>
      <c r="AV19" s="38">
        <v>1</v>
      </c>
      <c r="AW19" s="43">
        <v>2</v>
      </c>
      <c r="AX19" s="44">
        <v>1</v>
      </c>
      <c r="AY19" s="38">
        <v>1</v>
      </c>
      <c r="AZ19" s="38">
        <v>1</v>
      </c>
      <c r="BA19" s="38">
        <v>1</v>
      </c>
      <c r="BB19" s="38">
        <v>4</v>
      </c>
      <c r="BC19" s="38">
        <v>1</v>
      </c>
      <c r="BD19" s="38">
        <v>1</v>
      </c>
      <c r="BE19" s="45">
        <v>1</v>
      </c>
      <c r="BF19" s="44">
        <v>1</v>
      </c>
      <c r="BG19" s="38">
        <v>1</v>
      </c>
      <c r="BH19" s="38">
        <v>2</v>
      </c>
      <c r="BI19" s="38">
        <v>1</v>
      </c>
      <c r="BJ19" s="38">
        <v>1</v>
      </c>
      <c r="BK19" s="38">
        <v>3</v>
      </c>
      <c r="BL19" s="38">
        <v>4</v>
      </c>
      <c r="BM19" s="45">
        <v>3</v>
      </c>
      <c r="BN19" s="44">
        <v>1</v>
      </c>
      <c r="BO19" s="38">
        <v>1</v>
      </c>
      <c r="BP19" s="38">
        <v>1</v>
      </c>
      <c r="BQ19" s="38">
        <v>1</v>
      </c>
      <c r="BR19" s="38">
        <v>3</v>
      </c>
      <c r="BS19" s="38">
        <v>1</v>
      </c>
      <c r="BT19" s="38">
        <v>2</v>
      </c>
      <c r="BU19" s="45">
        <v>1</v>
      </c>
      <c r="BV19" s="44">
        <v>1</v>
      </c>
      <c r="BW19" s="38">
        <v>1</v>
      </c>
      <c r="BX19" s="38">
        <v>1</v>
      </c>
      <c r="BY19" s="38">
        <v>1</v>
      </c>
      <c r="BZ19" s="45">
        <v>3</v>
      </c>
      <c r="CA19" s="44">
        <v>2</v>
      </c>
      <c r="CB19" s="38">
        <v>3</v>
      </c>
      <c r="CC19" s="38">
        <v>3</v>
      </c>
      <c r="CD19" s="38">
        <v>3</v>
      </c>
      <c r="CE19" s="45">
        <v>2</v>
      </c>
      <c r="CF19" s="44">
        <v>3</v>
      </c>
      <c r="CG19" s="38">
        <v>3</v>
      </c>
      <c r="CH19" s="38">
        <v>3</v>
      </c>
      <c r="CI19" s="38">
        <v>3</v>
      </c>
      <c r="CJ19" s="45">
        <v>2</v>
      </c>
      <c r="CK19" s="44">
        <v>1</v>
      </c>
      <c r="CL19" s="38">
        <v>3</v>
      </c>
      <c r="CM19" s="38">
        <v>3</v>
      </c>
      <c r="CN19" s="38">
        <v>3</v>
      </c>
      <c r="CO19" s="45">
        <v>2</v>
      </c>
      <c r="CP19" s="44">
        <v>3</v>
      </c>
      <c r="CQ19" s="38">
        <v>3</v>
      </c>
      <c r="CR19" s="38">
        <v>2</v>
      </c>
      <c r="CS19" s="38">
        <v>3</v>
      </c>
      <c r="CT19" s="41">
        <v>2</v>
      </c>
    </row>
    <row r="20" spans="1:98" ht="12.75" x14ac:dyDescent="0.2">
      <c r="A20" s="68" t="s">
        <v>146</v>
      </c>
      <c r="B20" s="33">
        <v>38</v>
      </c>
      <c r="C20" s="33">
        <v>48</v>
      </c>
      <c r="D20" s="33">
        <v>49</v>
      </c>
      <c r="E20" s="33">
        <v>45.95</v>
      </c>
      <c r="F20" s="34" t="s">
        <v>126</v>
      </c>
      <c r="G20" s="34">
        <v>1.5349999999999999</v>
      </c>
      <c r="H20" s="35">
        <v>45748</v>
      </c>
      <c r="I20" s="48" t="s">
        <v>101</v>
      </c>
      <c r="J20" s="38" t="s">
        <v>89</v>
      </c>
      <c r="K20" s="38" t="s">
        <v>108</v>
      </c>
      <c r="L20" s="36" t="s">
        <v>91</v>
      </c>
      <c r="M20" s="50"/>
      <c r="N20" s="48" t="s">
        <v>90</v>
      </c>
      <c r="O20" s="48" t="s">
        <v>170</v>
      </c>
      <c r="P20" s="48" t="s">
        <v>94</v>
      </c>
      <c r="Q20" s="50" t="s">
        <v>91</v>
      </c>
      <c r="R20" s="49"/>
      <c r="S20" s="79" t="s">
        <v>90</v>
      </c>
      <c r="T20" s="38" t="s">
        <v>119</v>
      </c>
      <c r="U20" s="49"/>
      <c r="V20" s="36" t="s">
        <v>90</v>
      </c>
      <c r="W20" s="38" t="s">
        <v>105</v>
      </c>
      <c r="X20" s="38" t="s">
        <v>91</v>
      </c>
      <c r="Y20" s="49"/>
      <c r="Z20" s="44">
        <v>3</v>
      </c>
      <c r="AA20" s="38">
        <v>2</v>
      </c>
      <c r="AB20" s="38">
        <v>3</v>
      </c>
      <c r="AC20" s="38">
        <v>3</v>
      </c>
      <c r="AD20" s="38">
        <v>3</v>
      </c>
      <c r="AE20" s="38">
        <v>2</v>
      </c>
      <c r="AF20" s="38">
        <v>2</v>
      </c>
      <c r="AG20" s="38">
        <v>3</v>
      </c>
      <c r="AH20" s="38">
        <v>3</v>
      </c>
      <c r="AI20" s="38">
        <v>2</v>
      </c>
      <c r="AJ20" s="38">
        <v>3</v>
      </c>
      <c r="AK20" s="45">
        <v>2</v>
      </c>
      <c r="AL20" s="79">
        <v>2</v>
      </c>
      <c r="AM20" s="38">
        <v>3</v>
      </c>
      <c r="AN20" s="38">
        <v>3</v>
      </c>
      <c r="AO20" s="38">
        <v>3</v>
      </c>
      <c r="AP20" s="38">
        <v>3</v>
      </c>
      <c r="AQ20" s="38">
        <v>2</v>
      </c>
      <c r="AR20" s="38">
        <v>2</v>
      </c>
      <c r="AS20" s="38">
        <v>3</v>
      </c>
      <c r="AT20" s="38">
        <v>3</v>
      </c>
      <c r="AU20" s="38">
        <v>3</v>
      </c>
      <c r="AV20" s="38">
        <v>3</v>
      </c>
      <c r="AW20" s="43">
        <v>2</v>
      </c>
      <c r="AX20" s="44">
        <v>4</v>
      </c>
      <c r="AY20" s="38">
        <v>1</v>
      </c>
      <c r="AZ20" s="38">
        <v>1</v>
      </c>
      <c r="BA20" s="38">
        <v>1</v>
      </c>
      <c r="BB20" s="38">
        <v>2</v>
      </c>
      <c r="BC20" s="38">
        <v>3</v>
      </c>
      <c r="BD20" s="38">
        <v>3</v>
      </c>
      <c r="BE20" s="45">
        <v>3</v>
      </c>
      <c r="BF20" s="44">
        <v>3</v>
      </c>
      <c r="BG20" s="38">
        <v>3</v>
      </c>
      <c r="BH20" s="38">
        <v>3</v>
      </c>
      <c r="BI20" s="38">
        <v>3</v>
      </c>
      <c r="BJ20" s="38">
        <v>3</v>
      </c>
      <c r="BK20" s="38">
        <v>3</v>
      </c>
      <c r="BL20" s="38">
        <v>3</v>
      </c>
      <c r="BM20" s="45">
        <v>3</v>
      </c>
      <c r="BN20" s="44">
        <v>1</v>
      </c>
      <c r="BO20" s="38">
        <v>1</v>
      </c>
      <c r="BP20" s="38">
        <v>2</v>
      </c>
      <c r="BQ20" s="38">
        <v>1</v>
      </c>
      <c r="BR20" s="38">
        <v>3</v>
      </c>
      <c r="BS20" s="38">
        <v>3</v>
      </c>
      <c r="BT20" s="38">
        <v>2</v>
      </c>
      <c r="BU20" s="45">
        <v>2</v>
      </c>
      <c r="BV20" s="44">
        <v>3</v>
      </c>
      <c r="BW20" s="38">
        <v>2</v>
      </c>
      <c r="BX20" s="38">
        <v>3</v>
      </c>
      <c r="BY20" s="38">
        <v>3</v>
      </c>
      <c r="BZ20" s="45">
        <v>3</v>
      </c>
      <c r="CA20" s="44">
        <v>2</v>
      </c>
      <c r="CB20" s="38">
        <v>2</v>
      </c>
      <c r="CC20" s="38">
        <v>2</v>
      </c>
      <c r="CD20" s="38">
        <v>2</v>
      </c>
      <c r="CE20" s="45">
        <v>2</v>
      </c>
      <c r="CF20" s="44">
        <v>2</v>
      </c>
      <c r="CG20" s="38">
        <v>2</v>
      </c>
      <c r="CH20" s="38">
        <v>3</v>
      </c>
      <c r="CI20" s="38">
        <v>2</v>
      </c>
      <c r="CJ20" s="45">
        <v>2</v>
      </c>
      <c r="CK20" s="44">
        <v>2</v>
      </c>
      <c r="CL20" s="38">
        <v>2</v>
      </c>
      <c r="CM20" s="38">
        <v>2</v>
      </c>
      <c r="CN20" s="38">
        <v>2</v>
      </c>
      <c r="CO20" s="45">
        <v>2</v>
      </c>
      <c r="CP20" s="44">
        <v>2</v>
      </c>
      <c r="CQ20" s="38">
        <v>2</v>
      </c>
      <c r="CR20" s="38">
        <v>2</v>
      </c>
      <c r="CS20" s="38">
        <v>3</v>
      </c>
      <c r="CT20" s="45">
        <v>3</v>
      </c>
    </row>
    <row r="21" spans="1:98" ht="15" x14ac:dyDescent="0.25">
      <c r="A21" s="68" t="s">
        <v>144</v>
      </c>
      <c r="B21" s="33">
        <v>53</v>
      </c>
      <c r="C21" s="33">
        <v>63</v>
      </c>
      <c r="D21" s="33">
        <v>45</v>
      </c>
      <c r="E21" s="33">
        <v>52.4</v>
      </c>
      <c r="F21" s="34" t="s">
        <v>126</v>
      </c>
      <c r="G21" s="47">
        <v>2.0747</v>
      </c>
      <c r="H21" s="35">
        <v>45748</v>
      </c>
      <c r="I21" s="38" t="s">
        <v>106</v>
      </c>
      <c r="J21" s="38" t="s">
        <v>96</v>
      </c>
      <c r="K21" s="49"/>
      <c r="L21" s="36" t="s">
        <v>91</v>
      </c>
      <c r="M21" s="50"/>
      <c r="N21" s="38" t="s">
        <v>91</v>
      </c>
      <c r="O21" s="49"/>
      <c r="P21" s="48" t="s">
        <v>94</v>
      </c>
      <c r="Q21" s="50" t="s">
        <v>91</v>
      </c>
      <c r="R21" s="49"/>
      <c r="S21" s="79" t="s">
        <v>90</v>
      </c>
      <c r="T21" s="38" t="s">
        <v>119</v>
      </c>
      <c r="U21" s="50" t="s">
        <v>168</v>
      </c>
      <c r="V21" s="38" t="s">
        <v>90</v>
      </c>
      <c r="W21" s="38" t="s">
        <v>92</v>
      </c>
      <c r="X21" s="38" t="s">
        <v>91</v>
      </c>
      <c r="Y21" s="49"/>
      <c r="Z21" s="60">
        <v>1</v>
      </c>
      <c r="AA21" s="50">
        <v>2</v>
      </c>
      <c r="AB21" s="50">
        <v>1</v>
      </c>
      <c r="AC21" s="38">
        <v>2</v>
      </c>
      <c r="AD21" s="38">
        <v>3</v>
      </c>
      <c r="AE21" s="38">
        <v>2</v>
      </c>
      <c r="AF21" s="38">
        <v>2</v>
      </c>
      <c r="AG21" s="38">
        <v>1</v>
      </c>
      <c r="AH21" s="38">
        <v>2</v>
      </c>
      <c r="AI21" s="50">
        <v>2</v>
      </c>
      <c r="AJ21" s="50">
        <v>2</v>
      </c>
      <c r="AK21" s="45">
        <v>1</v>
      </c>
      <c r="AL21" s="79">
        <v>2</v>
      </c>
      <c r="AM21" s="38">
        <v>3</v>
      </c>
      <c r="AN21" s="38">
        <v>1</v>
      </c>
      <c r="AO21" s="38">
        <v>2</v>
      </c>
      <c r="AP21" s="38">
        <v>3</v>
      </c>
      <c r="AQ21" s="38">
        <v>3</v>
      </c>
      <c r="AR21" s="38">
        <v>3</v>
      </c>
      <c r="AS21" s="38">
        <v>3</v>
      </c>
      <c r="AT21" s="38">
        <v>2</v>
      </c>
      <c r="AU21" s="38">
        <v>2</v>
      </c>
      <c r="AV21" s="38">
        <v>2</v>
      </c>
      <c r="AW21" s="43">
        <v>2</v>
      </c>
      <c r="AX21" s="44">
        <v>1</v>
      </c>
      <c r="AY21" s="38">
        <v>2</v>
      </c>
      <c r="AZ21" s="38">
        <v>1</v>
      </c>
      <c r="BA21" s="38">
        <v>3</v>
      </c>
      <c r="BB21" s="38">
        <v>3</v>
      </c>
      <c r="BC21" s="38">
        <v>1</v>
      </c>
      <c r="BD21" s="38">
        <v>3</v>
      </c>
      <c r="BE21" s="45">
        <v>2</v>
      </c>
      <c r="BF21" s="44">
        <v>2</v>
      </c>
      <c r="BG21" s="38">
        <v>3</v>
      </c>
      <c r="BH21" s="38">
        <v>2</v>
      </c>
      <c r="BI21" s="38">
        <v>2</v>
      </c>
      <c r="BJ21" s="38">
        <v>2</v>
      </c>
      <c r="BK21" s="38">
        <v>1</v>
      </c>
      <c r="BL21" s="38">
        <v>3</v>
      </c>
      <c r="BM21" s="45">
        <v>3</v>
      </c>
      <c r="BN21" s="44">
        <v>1</v>
      </c>
      <c r="BO21" s="38">
        <v>1</v>
      </c>
      <c r="BP21" s="38">
        <v>1</v>
      </c>
      <c r="BQ21" s="38">
        <v>2</v>
      </c>
      <c r="BR21" s="38">
        <v>4</v>
      </c>
      <c r="BS21" s="38">
        <v>2</v>
      </c>
      <c r="BT21" s="38">
        <v>2</v>
      </c>
      <c r="BU21" s="45">
        <v>2</v>
      </c>
      <c r="BV21" s="44">
        <v>2</v>
      </c>
      <c r="BW21" s="38">
        <v>2</v>
      </c>
      <c r="BX21" s="38">
        <v>2</v>
      </c>
      <c r="BY21" s="38">
        <v>2</v>
      </c>
      <c r="BZ21" s="45">
        <v>2</v>
      </c>
      <c r="CA21" s="44">
        <v>3</v>
      </c>
      <c r="CB21" s="38">
        <v>1</v>
      </c>
      <c r="CC21" s="38">
        <v>1</v>
      </c>
      <c r="CD21" s="38">
        <v>1</v>
      </c>
      <c r="CE21" s="45">
        <v>1</v>
      </c>
      <c r="CF21" s="44">
        <v>2</v>
      </c>
      <c r="CG21" s="38">
        <v>2</v>
      </c>
      <c r="CH21" s="38">
        <v>3</v>
      </c>
      <c r="CI21" s="38">
        <v>2</v>
      </c>
      <c r="CJ21" s="45">
        <v>2</v>
      </c>
      <c r="CK21" s="44">
        <v>2</v>
      </c>
      <c r="CL21" s="38">
        <v>2</v>
      </c>
      <c r="CM21" s="38">
        <v>2</v>
      </c>
      <c r="CN21" s="38">
        <v>3</v>
      </c>
      <c r="CO21" s="45">
        <v>2</v>
      </c>
      <c r="CP21" s="44">
        <v>1</v>
      </c>
      <c r="CQ21" s="38">
        <v>1</v>
      </c>
      <c r="CR21" s="38">
        <v>1</v>
      </c>
      <c r="CS21" s="38">
        <v>1</v>
      </c>
      <c r="CT21" s="45">
        <v>1</v>
      </c>
    </row>
    <row r="22" spans="1:98" ht="12.75" x14ac:dyDescent="0.2">
      <c r="A22" s="68" t="s">
        <v>147</v>
      </c>
      <c r="B22" s="33">
        <v>71</v>
      </c>
      <c r="C22" s="33">
        <v>77</v>
      </c>
      <c r="D22" s="33">
        <v>60</v>
      </c>
      <c r="E22" s="33">
        <v>67.849999999999994</v>
      </c>
      <c r="F22" s="34" t="s">
        <v>126</v>
      </c>
      <c r="G22" s="34">
        <v>1.982</v>
      </c>
      <c r="H22" s="35">
        <v>45748</v>
      </c>
      <c r="I22" s="38" t="s">
        <v>97</v>
      </c>
      <c r="J22" s="38" t="s">
        <v>96</v>
      </c>
      <c r="K22" s="49"/>
      <c r="L22" s="36" t="s">
        <v>91</v>
      </c>
      <c r="M22" s="50"/>
      <c r="N22" s="38" t="s">
        <v>91</v>
      </c>
      <c r="O22" s="49"/>
      <c r="P22" s="43" t="s">
        <v>103</v>
      </c>
      <c r="Q22" s="50" t="s">
        <v>91</v>
      </c>
      <c r="R22" s="49"/>
      <c r="S22" s="79" t="s">
        <v>90</v>
      </c>
      <c r="T22" s="38" t="s">
        <v>119</v>
      </c>
      <c r="U22" s="50" t="s">
        <v>168</v>
      </c>
      <c r="V22" s="36" t="s">
        <v>91</v>
      </c>
      <c r="W22" s="50"/>
      <c r="X22" s="38" t="s">
        <v>91</v>
      </c>
      <c r="Y22" s="49"/>
      <c r="Z22" s="60">
        <v>1</v>
      </c>
      <c r="AA22" s="50">
        <v>2</v>
      </c>
      <c r="AB22" s="50">
        <v>1</v>
      </c>
      <c r="AC22" s="38">
        <v>2</v>
      </c>
      <c r="AD22" s="38">
        <v>2</v>
      </c>
      <c r="AE22" s="38">
        <v>1</v>
      </c>
      <c r="AF22" s="38">
        <v>1</v>
      </c>
      <c r="AG22" s="38">
        <v>1</v>
      </c>
      <c r="AH22" s="38">
        <v>2</v>
      </c>
      <c r="AI22" s="50">
        <v>2</v>
      </c>
      <c r="AJ22" s="50">
        <v>2</v>
      </c>
      <c r="AK22" s="45">
        <v>1</v>
      </c>
      <c r="AL22" s="79">
        <v>2</v>
      </c>
      <c r="AM22" s="38">
        <v>3</v>
      </c>
      <c r="AN22" s="38">
        <v>1</v>
      </c>
      <c r="AO22" s="38">
        <v>2</v>
      </c>
      <c r="AP22" s="38">
        <v>3</v>
      </c>
      <c r="AQ22" s="38">
        <v>3</v>
      </c>
      <c r="AR22" s="38">
        <v>3</v>
      </c>
      <c r="AS22" s="38">
        <v>3</v>
      </c>
      <c r="AT22" s="38">
        <v>2</v>
      </c>
      <c r="AU22" s="38">
        <v>2</v>
      </c>
      <c r="AV22" s="38">
        <v>2</v>
      </c>
      <c r="AW22" s="43">
        <v>2</v>
      </c>
      <c r="AX22" s="44">
        <v>1</v>
      </c>
      <c r="AY22" s="38">
        <v>2</v>
      </c>
      <c r="AZ22" s="38">
        <v>1</v>
      </c>
      <c r="BA22" s="38">
        <v>3</v>
      </c>
      <c r="BB22" s="38">
        <v>3</v>
      </c>
      <c r="BC22" s="38">
        <v>1</v>
      </c>
      <c r="BD22" s="38">
        <v>3</v>
      </c>
      <c r="BE22" s="45">
        <v>2</v>
      </c>
      <c r="BF22" s="44">
        <v>2</v>
      </c>
      <c r="BG22" s="38">
        <v>3</v>
      </c>
      <c r="BH22" s="38">
        <v>2</v>
      </c>
      <c r="BI22" s="38">
        <v>2</v>
      </c>
      <c r="BJ22" s="38">
        <v>2</v>
      </c>
      <c r="BK22" s="38">
        <v>1</v>
      </c>
      <c r="BL22" s="38">
        <v>3</v>
      </c>
      <c r="BM22" s="45">
        <v>3</v>
      </c>
      <c r="BN22" s="44">
        <v>1</v>
      </c>
      <c r="BO22" s="38">
        <v>1</v>
      </c>
      <c r="BP22" s="38">
        <v>1</v>
      </c>
      <c r="BQ22" s="38">
        <v>2</v>
      </c>
      <c r="BR22" s="38">
        <v>4</v>
      </c>
      <c r="BS22" s="38">
        <v>2</v>
      </c>
      <c r="BT22" s="38">
        <v>2</v>
      </c>
      <c r="BU22" s="45">
        <v>2</v>
      </c>
      <c r="BV22" s="44">
        <v>2</v>
      </c>
      <c r="BW22" s="38">
        <v>2</v>
      </c>
      <c r="BX22" s="38">
        <v>2</v>
      </c>
      <c r="BY22" s="38">
        <v>2</v>
      </c>
      <c r="BZ22" s="45">
        <v>2</v>
      </c>
      <c r="CA22" s="44">
        <v>3</v>
      </c>
      <c r="CB22" s="38">
        <v>1</v>
      </c>
      <c r="CC22" s="38">
        <v>1</v>
      </c>
      <c r="CD22" s="38">
        <v>1</v>
      </c>
      <c r="CE22" s="45">
        <v>1</v>
      </c>
      <c r="CF22" s="44">
        <v>2</v>
      </c>
      <c r="CG22" s="38">
        <v>2</v>
      </c>
      <c r="CH22" s="38">
        <v>3</v>
      </c>
      <c r="CI22" s="38">
        <v>2</v>
      </c>
      <c r="CJ22" s="45">
        <v>2</v>
      </c>
      <c r="CK22" s="44">
        <v>2</v>
      </c>
      <c r="CL22" s="38">
        <v>2</v>
      </c>
      <c r="CM22" s="38">
        <v>2</v>
      </c>
      <c r="CN22" s="38">
        <v>3</v>
      </c>
      <c r="CO22" s="45">
        <v>2</v>
      </c>
      <c r="CP22" s="44">
        <v>1</v>
      </c>
      <c r="CQ22" s="38">
        <v>1</v>
      </c>
      <c r="CR22" s="38">
        <v>1</v>
      </c>
      <c r="CS22" s="38">
        <v>1</v>
      </c>
      <c r="CT22" s="45">
        <v>1</v>
      </c>
    </row>
    <row r="23" spans="1:98" ht="15" x14ac:dyDescent="0.25">
      <c r="A23" s="82" t="s">
        <v>151</v>
      </c>
      <c r="B23" s="46">
        <v>49</v>
      </c>
      <c r="C23" s="46">
        <v>71</v>
      </c>
      <c r="D23" s="46">
        <v>57</v>
      </c>
      <c r="E23" s="33">
        <v>59.2</v>
      </c>
      <c r="F23" s="34" t="s">
        <v>126</v>
      </c>
      <c r="G23" s="47">
        <v>2.0137999999999998</v>
      </c>
      <c r="H23" s="35">
        <v>45870</v>
      </c>
      <c r="I23" s="38" t="s">
        <v>97</v>
      </c>
      <c r="J23" s="38" t="s">
        <v>96</v>
      </c>
      <c r="K23" s="36"/>
      <c r="L23" s="36" t="s">
        <v>91</v>
      </c>
      <c r="M23" s="50"/>
      <c r="N23" s="38" t="s">
        <v>91</v>
      </c>
      <c r="O23" s="49"/>
      <c r="P23" s="43" t="s">
        <v>99</v>
      </c>
      <c r="Q23" s="50" t="s">
        <v>91</v>
      </c>
      <c r="R23" s="49"/>
      <c r="S23" s="79" t="s">
        <v>91</v>
      </c>
      <c r="T23" s="38" t="s">
        <v>119</v>
      </c>
      <c r="U23" s="49"/>
      <c r="V23" s="38" t="s">
        <v>90</v>
      </c>
      <c r="W23" s="50" t="s">
        <v>98</v>
      </c>
      <c r="X23" s="38" t="s">
        <v>91</v>
      </c>
      <c r="Y23" s="49"/>
      <c r="Z23" s="60">
        <v>1</v>
      </c>
      <c r="AA23" s="50">
        <v>3</v>
      </c>
      <c r="AB23" s="50">
        <v>3</v>
      </c>
      <c r="AC23" s="38">
        <v>2</v>
      </c>
      <c r="AD23" s="38">
        <v>3</v>
      </c>
      <c r="AE23" s="38">
        <v>2</v>
      </c>
      <c r="AF23" s="38">
        <v>2</v>
      </c>
      <c r="AG23" s="38">
        <v>1</v>
      </c>
      <c r="AH23" s="38">
        <v>2</v>
      </c>
      <c r="AI23" s="50">
        <v>2</v>
      </c>
      <c r="AJ23" s="50">
        <v>2</v>
      </c>
      <c r="AK23" s="61">
        <v>3</v>
      </c>
      <c r="AL23" s="50">
        <v>2</v>
      </c>
      <c r="AM23" s="50">
        <v>2</v>
      </c>
      <c r="AN23" s="50">
        <v>3</v>
      </c>
      <c r="AO23" s="50">
        <v>2</v>
      </c>
      <c r="AP23" s="50">
        <v>3</v>
      </c>
      <c r="AQ23" s="50">
        <v>2</v>
      </c>
      <c r="AR23" s="50">
        <v>1</v>
      </c>
      <c r="AS23" s="38">
        <v>1</v>
      </c>
      <c r="AT23" s="38">
        <v>1</v>
      </c>
      <c r="AU23" s="38">
        <v>2</v>
      </c>
      <c r="AV23" s="38">
        <v>1</v>
      </c>
      <c r="AW23" s="43">
        <v>2</v>
      </c>
      <c r="AX23" s="44">
        <v>4</v>
      </c>
      <c r="AY23" s="38">
        <v>1</v>
      </c>
      <c r="AZ23" s="38">
        <v>1</v>
      </c>
      <c r="BA23" s="38">
        <v>1</v>
      </c>
      <c r="BB23" s="38">
        <v>1</v>
      </c>
      <c r="BC23" s="36">
        <v>1</v>
      </c>
      <c r="BD23" s="36">
        <v>1</v>
      </c>
      <c r="BE23" s="41">
        <v>1</v>
      </c>
      <c r="BF23" s="40">
        <v>1</v>
      </c>
      <c r="BG23" s="36">
        <v>1</v>
      </c>
      <c r="BH23" s="36">
        <v>2</v>
      </c>
      <c r="BI23" s="36">
        <v>1</v>
      </c>
      <c r="BJ23" s="36">
        <v>1</v>
      </c>
      <c r="BK23" s="36">
        <v>1</v>
      </c>
      <c r="BL23" s="36">
        <v>4</v>
      </c>
      <c r="BM23" s="41">
        <v>1</v>
      </c>
      <c r="BN23" s="40">
        <v>1</v>
      </c>
      <c r="BO23" s="38">
        <v>1</v>
      </c>
      <c r="BP23" s="38">
        <v>1</v>
      </c>
      <c r="BQ23" s="38">
        <v>1</v>
      </c>
      <c r="BR23" s="38">
        <v>3</v>
      </c>
      <c r="BS23" s="38">
        <v>2</v>
      </c>
      <c r="BT23" s="38">
        <v>1</v>
      </c>
      <c r="BU23" s="45">
        <v>3</v>
      </c>
      <c r="BV23" s="44">
        <v>1</v>
      </c>
      <c r="BW23" s="38">
        <v>1</v>
      </c>
      <c r="BX23" s="38">
        <v>1</v>
      </c>
      <c r="BY23" s="38">
        <v>1</v>
      </c>
      <c r="BZ23" s="45">
        <v>1</v>
      </c>
      <c r="CA23" s="44">
        <v>2</v>
      </c>
      <c r="CB23" s="38">
        <v>2</v>
      </c>
      <c r="CC23" s="38">
        <v>3</v>
      </c>
      <c r="CD23" s="38">
        <v>1</v>
      </c>
      <c r="CE23" s="45">
        <v>3</v>
      </c>
      <c r="CF23" s="44">
        <v>1</v>
      </c>
      <c r="CG23" s="38">
        <v>2</v>
      </c>
      <c r="CH23" s="38">
        <v>3</v>
      </c>
      <c r="CI23" s="38">
        <v>2</v>
      </c>
      <c r="CJ23" s="45">
        <v>3</v>
      </c>
      <c r="CK23" s="44">
        <v>1</v>
      </c>
      <c r="CL23" s="38">
        <v>3</v>
      </c>
      <c r="CM23" s="38">
        <v>1</v>
      </c>
      <c r="CN23" s="38">
        <v>2</v>
      </c>
      <c r="CO23" s="45">
        <v>3</v>
      </c>
      <c r="CP23" s="44">
        <v>3</v>
      </c>
      <c r="CQ23" s="38">
        <v>3</v>
      </c>
      <c r="CR23" s="38">
        <v>2</v>
      </c>
      <c r="CS23" s="38">
        <v>2</v>
      </c>
      <c r="CT23" s="45">
        <v>2</v>
      </c>
    </row>
    <row r="24" spans="1:98" ht="15" x14ac:dyDescent="0.25">
      <c r="A24" s="82" t="s">
        <v>157</v>
      </c>
      <c r="B24" s="46">
        <v>59</v>
      </c>
      <c r="C24" s="46">
        <v>69</v>
      </c>
      <c r="D24" s="46">
        <v>62</v>
      </c>
      <c r="E24" s="33">
        <v>63.35</v>
      </c>
      <c r="F24" s="34" t="s">
        <v>126</v>
      </c>
      <c r="G24" s="47">
        <v>1.8</v>
      </c>
      <c r="H24" s="35">
        <v>45870</v>
      </c>
      <c r="I24" s="38" t="s">
        <v>97</v>
      </c>
      <c r="J24" s="38" t="s">
        <v>96</v>
      </c>
      <c r="K24" s="49"/>
      <c r="L24" s="38" t="s">
        <v>90</v>
      </c>
      <c r="M24" s="50" t="s">
        <v>110</v>
      </c>
      <c r="N24" s="38" t="s">
        <v>91</v>
      </c>
      <c r="O24" s="49"/>
      <c r="P24" s="39" t="s">
        <v>103</v>
      </c>
      <c r="Q24" s="50" t="s">
        <v>91</v>
      </c>
      <c r="R24" s="49"/>
      <c r="S24" s="79" t="s">
        <v>91</v>
      </c>
      <c r="T24" s="38" t="s">
        <v>95</v>
      </c>
      <c r="U24" s="49"/>
      <c r="V24" s="36" t="s">
        <v>91</v>
      </c>
      <c r="W24" s="50"/>
      <c r="X24" s="38" t="s">
        <v>91</v>
      </c>
      <c r="Y24" s="49"/>
      <c r="Z24" s="60">
        <v>1</v>
      </c>
      <c r="AA24" s="50">
        <v>2</v>
      </c>
      <c r="AB24" s="50">
        <v>3</v>
      </c>
      <c r="AC24" s="38">
        <v>2</v>
      </c>
      <c r="AD24" s="38">
        <v>2</v>
      </c>
      <c r="AE24" s="38">
        <v>1</v>
      </c>
      <c r="AF24" s="38">
        <v>1</v>
      </c>
      <c r="AG24" s="38">
        <v>1</v>
      </c>
      <c r="AH24" s="38">
        <v>2</v>
      </c>
      <c r="AI24" s="50">
        <v>2</v>
      </c>
      <c r="AJ24" s="50">
        <v>2</v>
      </c>
      <c r="AK24" s="61">
        <v>2</v>
      </c>
      <c r="AL24" s="79">
        <v>3</v>
      </c>
      <c r="AM24" s="38">
        <v>3</v>
      </c>
      <c r="AN24" s="38">
        <v>3</v>
      </c>
      <c r="AO24" s="38">
        <v>3</v>
      </c>
      <c r="AP24" s="38">
        <v>3</v>
      </c>
      <c r="AQ24" s="38">
        <v>3</v>
      </c>
      <c r="AR24" s="38">
        <v>3</v>
      </c>
      <c r="AS24" s="38">
        <v>3</v>
      </c>
      <c r="AT24" s="38">
        <v>3</v>
      </c>
      <c r="AU24" s="38">
        <v>3</v>
      </c>
      <c r="AV24" s="38">
        <v>3</v>
      </c>
      <c r="AW24" s="43">
        <v>3</v>
      </c>
      <c r="AX24" s="44">
        <v>1</v>
      </c>
      <c r="AY24" s="38">
        <v>1</v>
      </c>
      <c r="AZ24" s="38">
        <v>2</v>
      </c>
      <c r="BA24" s="38">
        <v>3</v>
      </c>
      <c r="BB24" s="38">
        <v>3</v>
      </c>
      <c r="BC24" s="38">
        <v>3</v>
      </c>
      <c r="BD24" s="38">
        <v>3</v>
      </c>
      <c r="BE24" s="45">
        <v>3</v>
      </c>
      <c r="BF24" s="44">
        <v>3</v>
      </c>
      <c r="BG24" s="38">
        <v>3</v>
      </c>
      <c r="BH24" s="38">
        <v>3</v>
      </c>
      <c r="BI24" s="38">
        <v>3</v>
      </c>
      <c r="BJ24" s="38">
        <v>3</v>
      </c>
      <c r="BK24" s="38">
        <v>3</v>
      </c>
      <c r="BL24" s="38">
        <v>3</v>
      </c>
      <c r="BM24" s="45">
        <v>3</v>
      </c>
      <c r="BN24" s="44">
        <v>1</v>
      </c>
      <c r="BO24" s="38">
        <v>1</v>
      </c>
      <c r="BP24" s="38">
        <v>2</v>
      </c>
      <c r="BQ24" s="38">
        <v>1</v>
      </c>
      <c r="BR24" s="38">
        <v>3</v>
      </c>
      <c r="BS24" s="38">
        <v>3</v>
      </c>
      <c r="BT24" s="38">
        <v>2</v>
      </c>
      <c r="BU24" s="45">
        <v>2</v>
      </c>
      <c r="BV24" s="44">
        <v>3</v>
      </c>
      <c r="BW24" s="38">
        <v>2</v>
      </c>
      <c r="BX24" s="38">
        <v>3</v>
      </c>
      <c r="BY24" s="38">
        <v>3</v>
      </c>
      <c r="BZ24" s="45">
        <v>3</v>
      </c>
      <c r="CA24" s="44">
        <v>3</v>
      </c>
      <c r="CB24" s="38">
        <v>2</v>
      </c>
      <c r="CC24" s="38">
        <v>3</v>
      </c>
      <c r="CD24" s="38">
        <v>2</v>
      </c>
      <c r="CE24" s="45">
        <v>3</v>
      </c>
      <c r="CF24" s="44">
        <v>3</v>
      </c>
      <c r="CG24" s="38">
        <v>3</v>
      </c>
      <c r="CH24" s="38">
        <v>3</v>
      </c>
      <c r="CI24" s="38">
        <v>3</v>
      </c>
      <c r="CJ24" s="45">
        <v>3</v>
      </c>
      <c r="CK24" s="44">
        <v>3</v>
      </c>
      <c r="CL24" s="38">
        <v>3</v>
      </c>
      <c r="CM24" s="38">
        <v>3</v>
      </c>
      <c r="CN24" s="38">
        <v>3</v>
      </c>
      <c r="CO24" s="45">
        <v>3</v>
      </c>
      <c r="CP24" s="44">
        <v>3</v>
      </c>
      <c r="CQ24" s="38">
        <v>2</v>
      </c>
      <c r="CR24" s="38">
        <v>3</v>
      </c>
      <c r="CS24" s="38">
        <v>3</v>
      </c>
      <c r="CT24" s="45">
        <v>3</v>
      </c>
    </row>
    <row r="25" spans="1:98" ht="15" x14ac:dyDescent="0.25">
      <c r="A25" s="68" t="s">
        <v>116</v>
      </c>
      <c r="B25" s="33">
        <v>63</v>
      </c>
      <c r="C25" s="33">
        <v>64</v>
      </c>
      <c r="D25" s="33">
        <v>67</v>
      </c>
      <c r="E25" s="33">
        <v>65.099999999999994</v>
      </c>
      <c r="F25" s="34" t="s">
        <v>126</v>
      </c>
      <c r="G25" s="47">
        <v>2.0720000000000001</v>
      </c>
      <c r="H25" s="35">
        <v>45870</v>
      </c>
      <c r="I25" s="38" t="s">
        <v>97</v>
      </c>
      <c r="J25" s="38" t="s">
        <v>96</v>
      </c>
      <c r="K25" s="49"/>
      <c r="L25" s="36" t="s">
        <v>91</v>
      </c>
      <c r="M25" s="50"/>
      <c r="N25" s="38" t="s">
        <v>91</v>
      </c>
      <c r="O25" s="49"/>
      <c r="P25" s="48" t="s">
        <v>94</v>
      </c>
      <c r="Q25" s="50" t="s">
        <v>91</v>
      </c>
      <c r="R25" s="49"/>
      <c r="S25" s="79" t="s">
        <v>91</v>
      </c>
      <c r="T25" s="38" t="s">
        <v>95</v>
      </c>
      <c r="U25" s="50"/>
      <c r="V25" s="36" t="s">
        <v>91</v>
      </c>
      <c r="W25" s="50"/>
      <c r="X25" s="38" t="s">
        <v>91</v>
      </c>
      <c r="Y25" s="49"/>
      <c r="Z25" s="60">
        <v>1</v>
      </c>
      <c r="AA25" s="50">
        <v>2</v>
      </c>
      <c r="AB25" s="50">
        <v>3</v>
      </c>
      <c r="AC25" s="38">
        <v>3</v>
      </c>
      <c r="AD25" s="38">
        <v>3</v>
      </c>
      <c r="AE25" s="38">
        <v>2</v>
      </c>
      <c r="AF25" s="38">
        <v>2</v>
      </c>
      <c r="AG25" s="38">
        <v>3</v>
      </c>
      <c r="AH25" s="38">
        <v>3</v>
      </c>
      <c r="AI25" s="50">
        <v>2</v>
      </c>
      <c r="AJ25" s="50">
        <v>2</v>
      </c>
      <c r="AK25" s="61">
        <v>2</v>
      </c>
      <c r="AL25" s="79">
        <v>2</v>
      </c>
      <c r="AM25" s="38">
        <v>3</v>
      </c>
      <c r="AN25" s="38">
        <v>3</v>
      </c>
      <c r="AO25" s="38">
        <v>3</v>
      </c>
      <c r="AP25" s="38">
        <v>3</v>
      </c>
      <c r="AQ25" s="38">
        <v>3</v>
      </c>
      <c r="AR25" s="38">
        <v>3</v>
      </c>
      <c r="AS25" s="38">
        <v>3</v>
      </c>
      <c r="AT25" s="38">
        <v>3</v>
      </c>
      <c r="AU25" s="38">
        <v>3</v>
      </c>
      <c r="AV25" s="38">
        <v>3</v>
      </c>
      <c r="AW25" s="43">
        <v>3</v>
      </c>
      <c r="AX25" s="44">
        <v>1</v>
      </c>
      <c r="AY25" s="38">
        <v>1</v>
      </c>
      <c r="AZ25" s="38">
        <v>2</v>
      </c>
      <c r="BA25" s="38">
        <v>3</v>
      </c>
      <c r="BB25" s="38">
        <v>3</v>
      </c>
      <c r="BC25" s="38">
        <v>3</v>
      </c>
      <c r="BD25" s="38">
        <v>3</v>
      </c>
      <c r="BE25" s="45">
        <v>3</v>
      </c>
      <c r="BF25" s="44">
        <v>3</v>
      </c>
      <c r="BG25" s="38">
        <v>3</v>
      </c>
      <c r="BH25" s="38">
        <v>3</v>
      </c>
      <c r="BI25" s="38">
        <v>3</v>
      </c>
      <c r="BJ25" s="38">
        <v>3</v>
      </c>
      <c r="BK25" s="38">
        <v>3</v>
      </c>
      <c r="BL25" s="38">
        <v>3</v>
      </c>
      <c r="BM25" s="45">
        <v>3</v>
      </c>
      <c r="BN25" s="44">
        <v>1</v>
      </c>
      <c r="BO25" s="38">
        <v>1</v>
      </c>
      <c r="BP25" s="38">
        <v>2</v>
      </c>
      <c r="BQ25" s="38">
        <v>1</v>
      </c>
      <c r="BR25" s="38">
        <v>3</v>
      </c>
      <c r="BS25" s="38">
        <v>3</v>
      </c>
      <c r="BT25" s="38">
        <v>2</v>
      </c>
      <c r="BU25" s="45">
        <v>2</v>
      </c>
      <c r="BV25" s="44">
        <v>3</v>
      </c>
      <c r="BW25" s="38">
        <v>2</v>
      </c>
      <c r="BX25" s="38">
        <v>3</v>
      </c>
      <c r="BY25" s="38">
        <v>3</v>
      </c>
      <c r="BZ25" s="45">
        <v>3</v>
      </c>
      <c r="CA25" s="44">
        <v>2</v>
      </c>
      <c r="CB25" s="38">
        <v>2</v>
      </c>
      <c r="CC25" s="38">
        <v>3</v>
      </c>
      <c r="CD25" s="38">
        <v>2</v>
      </c>
      <c r="CE25" s="45">
        <v>3</v>
      </c>
      <c r="CF25" s="44">
        <v>3</v>
      </c>
      <c r="CG25" s="38">
        <v>3</v>
      </c>
      <c r="CH25" s="38">
        <v>3</v>
      </c>
      <c r="CI25" s="38">
        <v>3</v>
      </c>
      <c r="CJ25" s="45">
        <v>3</v>
      </c>
      <c r="CK25" s="44">
        <v>3</v>
      </c>
      <c r="CL25" s="38">
        <v>3</v>
      </c>
      <c r="CM25" s="38">
        <v>3</v>
      </c>
      <c r="CN25" s="38">
        <v>3</v>
      </c>
      <c r="CO25" s="45">
        <v>3</v>
      </c>
      <c r="CP25" s="44">
        <v>3</v>
      </c>
      <c r="CQ25" s="38">
        <v>2</v>
      </c>
      <c r="CR25" s="38">
        <v>3</v>
      </c>
      <c r="CS25" s="38">
        <v>3</v>
      </c>
      <c r="CT25" s="45">
        <v>3</v>
      </c>
    </row>
    <row r="26" spans="1:98" ht="15" x14ac:dyDescent="0.25">
      <c r="A26" s="82" t="s">
        <v>158</v>
      </c>
      <c r="B26" s="46">
        <v>39</v>
      </c>
      <c r="C26" s="46">
        <v>53</v>
      </c>
      <c r="D26" s="46">
        <v>42</v>
      </c>
      <c r="E26" s="33">
        <v>44.55</v>
      </c>
      <c r="F26" s="34" t="s">
        <v>126</v>
      </c>
      <c r="G26" s="34">
        <v>2.3125</v>
      </c>
      <c r="H26" s="35">
        <v>45870</v>
      </c>
      <c r="I26" s="38" t="s">
        <v>111</v>
      </c>
      <c r="J26" s="38" t="s">
        <v>89</v>
      </c>
      <c r="K26" s="38" t="s">
        <v>108</v>
      </c>
      <c r="L26" s="38" t="s">
        <v>90</v>
      </c>
      <c r="M26" s="38" t="s">
        <v>93</v>
      </c>
      <c r="N26" s="48" t="s">
        <v>90</v>
      </c>
      <c r="O26" s="48" t="s">
        <v>162</v>
      </c>
      <c r="P26" s="48" t="s">
        <v>94</v>
      </c>
      <c r="Q26" s="50" t="s">
        <v>91</v>
      </c>
      <c r="R26" s="49"/>
      <c r="S26" s="79" t="s">
        <v>90</v>
      </c>
      <c r="T26" s="38" t="s">
        <v>119</v>
      </c>
      <c r="U26" s="50" t="s">
        <v>168</v>
      </c>
      <c r="V26" s="38" t="s">
        <v>90</v>
      </c>
      <c r="W26" s="38" t="s">
        <v>92</v>
      </c>
      <c r="X26" s="50" t="s">
        <v>90</v>
      </c>
      <c r="Y26" s="49" t="s">
        <v>163</v>
      </c>
      <c r="Z26" s="44">
        <v>3</v>
      </c>
      <c r="AA26" s="38">
        <v>1</v>
      </c>
      <c r="AB26" s="38">
        <v>3</v>
      </c>
      <c r="AC26" s="38">
        <v>2</v>
      </c>
      <c r="AD26" s="38">
        <v>2</v>
      </c>
      <c r="AE26" s="36">
        <v>2</v>
      </c>
      <c r="AF26" s="38">
        <v>1</v>
      </c>
      <c r="AG26" s="38">
        <v>2</v>
      </c>
      <c r="AH26" s="38">
        <v>2</v>
      </c>
      <c r="AI26" s="38">
        <v>2</v>
      </c>
      <c r="AJ26" s="38">
        <v>3</v>
      </c>
      <c r="AK26" s="45">
        <v>3</v>
      </c>
      <c r="AL26" s="79">
        <v>2</v>
      </c>
      <c r="AM26" s="38">
        <v>3</v>
      </c>
      <c r="AN26" s="38">
        <v>3</v>
      </c>
      <c r="AO26" s="38">
        <v>3</v>
      </c>
      <c r="AP26" s="36">
        <v>3</v>
      </c>
      <c r="AQ26" s="38">
        <v>3</v>
      </c>
      <c r="AR26" s="38">
        <v>3</v>
      </c>
      <c r="AS26" s="38">
        <v>3</v>
      </c>
      <c r="AT26" s="38">
        <v>3</v>
      </c>
      <c r="AU26" s="38">
        <v>3</v>
      </c>
      <c r="AV26" s="38">
        <v>2</v>
      </c>
      <c r="AW26" s="43">
        <v>2</v>
      </c>
      <c r="AX26" s="44">
        <v>3</v>
      </c>
      <c r="AY26" s="38">
        <v>2</v>
      </c>
      <c r="AZ26" s="38">
        <v>1</v>
      </c>
      <c r="BA26" s="36">
        <v>4</v>
      </c>
      <c r="BB26" s="38">
        <v>2</v>
      </c>
      <c r="BC26" s="38">
        <v>3</v>
      </c>
      <c r="BD26" s="38">
        <v>3</v>
      </c>
      <c r="BE26" s="45">
        <v>2</v>
      </c>
      <c r="BF26" s="44">
        <v>2</v>
      </c>
      <c r="BG26" s="38">
        <v>3</v>
      </c>
      <c r="BH26" s="38">
        <v>2</v>
      </c>
      <c r="BI26" s="38">
        <v>3</v>
      </c>
      <c r="BJ26" s="38">
        <v>1</v>
      </c>
      <c r="BK26" s="38">
        <v>2</v>
      </c>
      <c r="BL26" s="36">
        <v>2</v>
      </c>
      <c r="BM26" s="45">
        <v>2</v>
      </c>
      <c r="BN26" s="44">
        <v>1</v>
      </c>
      <c r="BO26" s="38">
        <v>1</v>
      </c>
      <c r="BP26" s="38">
        <v>1</v>
      </c>
      <c r="BQ26" s="38">
        <v>1</v>
      </c>
      <c r="BR26" s="38">
        <v>1</v>
      </c>
      <c r="BS26" s="38">
        <v>1</v>
      </c>
      <c r="BT26" s="38">
        <v>1</v>
      </c>
      <c r="BU26" s="45">
        <v>3</v>
      </c>
      <c r="BV26" s="44">
        <v>1</v>
      </c>
      <c r="BW26" s="36">
        <v>1</v>
      </c>
      <c r="BX26" s="38">
        <v>1</v>
      </c>
      <c r="BY26" s="38">
        <v>1</v>
      </c>
      <c r="BZ26" s="45">
        <v>3</v>
      </c>
      <c r="CA26" s="44">
        <v>2</v>
      </c>
      <c r="CB26" s="38">
        <v>3</v>
      </c>
      <c r="CC26" s="38">
        <v>1</v>
      </c>
      <c r="CD26" s="38">
        <v>3</v>
      </c>
      <c r="CE26" s="45">
        <v>1</v>
      </c>
      <c r="CF26" s="44">
        <v>3</v>
      </c>
      <c r="CG26" s="38">
        <v>2</v>
      </c>
      <c r="CH26" s="36">
        <v>3</v>
      </c>
      <c r="CI26" s="38">
        <v>2</v>
      </c>
      <c r="CJ26" s="45">
        <v>1</v>
      </c>
      <c r="CK26" s="44">
        <v>2</v>
      </c>
      <c r="CL26" s="38">
        <v>2</v>
      </c>
      <c r="CM26" s="38">
        <v>2</v>
      </c>
      <c r="CN26" s="36">
        <v>3</v>
      </c>
      <c r="CO26" s="45">
        <v>3</v>
      </c>
      <c r="CP26" s="44">
        <v>2</v>
      </c>
      <c r="CQ26" s="38">
        <v>2</v>
      </c>
      <c r="CR26" s="38">
        <v>2</v>
      </c>
      <c r="CS26" s="38">
        <v>2</v>
      </c>
      <c r="CT26" s="45">
        <v>1</v>
      </c>
    </row>
    <row r="27" spans="1:98" ht="15" x14ac:dyDescent="0.25">
      <c r="A27" s="82" t="s">
        <v>155</v>
      </c>
      <c r="B27" s="46">
        <v>39</v>
      </c>
      <c r="C27" s="46">
        <v>55</v>
      </c>
      <c r="D27" s="46">
        <v>43</v>
      </c>
      <c r="E27" s="33">
        <v>45.6</v>
      </c>
      <c r="F27" s="34" t="s">
        <v>126</v>
      </c>
      <c r="G27" s="47">
        <v>2.2734000000000001</v>
      </c>
      <c r="H27" s="35">
        <v>45870</v>
      </c>
      <c r="I27" s="36" t="s">
        <v>101</v>
      </c>
      <c r="J27" s="38" t="s">
        <v>89</v>
      </c>
      <c r="K27" s="38" t="s">
        <v>108</v>
      </c>
      <c r="L27" s="38" t="s">
        <v>90</v>
      </c>
      <c r="M27" s="50" t="s">
        <v>110</v>
      </c>
      <c r="N27" s="48" t="s">
        <v>90</v>
      </c>
      <c r="O27" s="48" t="s">
        <v>162</v>
      </c>
      <c r="P27" s="43" t="s">
        <v>103</v>
      </c>
      <c r="Q27" s="50" t="s">
        <v>91</v>
      </c>
      <c r="R27" s="49"/>
      <c r="S27" s="79" t="s">
        <v>90</v>
      </c>
      <c r="T27" s="38" t="s">
        <v>119</v>
      </c>
      <c r="U27" s="50" t="s">
        <v>171</v>
      </c>
      <c r="V27" s="38" t="s">
        <v>90</v>
      </c>
      <c r="W27" s="38" t="s">
        <v>92</v>
      </c>
      <c r="X27" s="50" t="s">
        <v>90</v>
      </c>
      <c r="Y27" s="49"/>
      <c r="Z27" s="44">
        <v>3</v>
      </c>
      <c r="AA27" s="38">
        <v>1</v>
      </c>
      <c r="AB27" s="38">
        <v>2</v>
      </c>
      <c r="AC27" s="38">
        <v>3</v>
      </c>
      <c r="AD27" s="38">
        <v>3</v>
      </c>
      <c r="AE27" s="36">
        <v>2</v>
      </c>
      <c r="AF27" s="38">
        <v>2</v>
      </c>
      <c r="AG27" s="38">
        <v>2</v>
      </c>
      <c r="AH27" s="38">
        <v>2</v>
      </c>
      <c r="AI27" s="38">
        <v>2</v>
      </c>
      <c r="AJ27" s="38">
        <v>3</v>
      </c>
      <c r="AK27" s="45">
        <v>3</v>
      </c>
      <c r="AL27" s="79">
        <v>3</v>
      </c>
      <c r="AM27" s="38">
        <v>3</v>
      </c>
      <c r="AN27" s="38">
        <v>3</v>
      </c>
      <c r="AO27" s="38">
        <v>3</v>
      </c>
      <c r="AP27" s="36">
        <v>3</v>
      </c>
      <c r="AQ27" s="38">
        <v>3</v>
      </c>
      <c r="AR27" s="38">
        <v>2</v>
      </c>
      <c r="AS27" s="38">
        <v>3</v>
      </c>
      <c r="AT27" s="38">
        <v>2</v>
      </c>
      <c r="AU27" s="38">
        <v>2</v>
      </c>
      <c r="AV27" s="38">
        <v>2</v>
      </c>
      <c r="AW27" s="43">
        <v>2</v>
      </c>
      <c r="AX27" s="44">
        <v>4</v>
      </c>
      <c r="AY27" s="38">
        <v>1</v>
      </c>
      <c r="AZ27" s="38">
        <v>2</v>
      </c>
      <c r="BA27" s="36">
        <v>4</v>
      </c>
      <c r="BB27" s="38">
        <v>3</v>
      </c>
      <c r="BC27" s="38">
        <v>3</v>
      </c>
      <c r="BD27" s="38">
        <v>2</v>
      </c>
      <c r="BE27" s="45">
        <v>2</v>
      </c>
      <c r="BF27" s="44">
        <v>1</v>
      </c>
      <c r="BG27" s="38">
        <v>3</v>
      </c>
      <c r="BH27" s="38">
        <v>2</v>
      </c>
      <c r="BI27" s="38">
        <v>2</v>
      </c>
      <c r="BJ27" s="38">
        <v>2</v>
      </c>
      <c r="BK27" s="38">
        <v>2</v>
      </c>
      <c r="BL27" s="36">
        <v>2</v>
      </c>
      <c r="BM27" s="45">
        <v>2</v>
      </c>
      <c r="BN27" s="44">
        <v>2</v>
      </c>
      <c r="BO27" s="38">
        <v>1</v>
      </c>
      <c r="BP27" s="38">
        <v>1</v>
      </c>
      <c r="BQ27" s="38">
        <v>1</v>
      </c>
      <c r="BR27" s="38">
        <v>1</v>
      </c>
      <c r="BS27" s="38">
        <v>1</v>
      </c>
      <c r="BT27" s="38">
        <v>1</v>
      </c>
      <c r="BU27" s="45">
        <v>3</v>
      </c>
      <c r="BV27" s="44">
        <v>1</v>
      </c>
      <c r="BW27" s="36">
        <v>1</v>
      </c>
      <c r="BX27" s="38">
        <v>1</v>
      </c>
      <c r="BY27" s="38">
        <v>1</v>
      </c>
      <c r="BZ27" s="45">
        <v>3</v>
      </c>
      <c r="CA27" s="44">
        <v>3</v>
      </c>
      <c r="CB27" s="38">
        <v>3</v>
      </c>
      <c r="CC27" s="38">
        <v>1</v>
      </c>
      <c r="CD27" s="38">
        <v>3</v>
      </c>
      <c r="CE27" s="45">
        <v>1</v>
      </c>
      <c r="CF27" s="44">
        <v>3</v>
      </c>
      <c r="CG27" s="38">
        <v>2</v>
      </c>
      <c r="CH27" s="36">
        <v>3</v>
      </c>
      <c r="CI27" s="38">
        <v>2</v>
      </c>
      <c r="CJ27" s="45">
        <v>1</v>
      </c>
      <c r="CK27" s="44">
        <v>2</v>
      </c>
      <c r="CL27" s="38">
        <v>2</v>
      </c>
      <c r="CM27" s="38">
        <v>2</v>
      </c>
      <c r="CN27" s="36">
        <v>3</v>
      </c>
      <c r="CO27" s="45">
        <v>3</v>
      </c>
      <c r="CP27" s="44">
        <v>2</v>
      </c>
      <c r="CQ27" s="38">
        <v>2</v>
      </c>
      <c r="CR27" s="38">
        <v>2</v>
      </c>
      <c r="CS27" s="38">
        <v>3</v>
      </c>
      <c r="CT27" s="45">
        <v>2</v>
      </c>
    </row>
    <row r="28" spans="1:98" ht="12.75" x14ac:dyDescent="0.2">
      <c r="A28" s="68" t="s">
        <v>160</v>
      </c>
      <c r="B28" s="33">
        <v>60</v>
      </c>
      <c r="C28" s="33">
        <v>71</v>
      </c>
      <c r="D28" s="33">
        <v>53</v>
      </c>
      <c r="E28" s="33">
        <v>60.15</v>
      </c>
      <c r="F28" s="34" t="s">
        <v>126</v>
      </c>
      <c r="G28" s="34">
        <v>2.2162999999999999</v>
      </c>
      <c r="H28" s="35">
        <v>45870</v>
      </c>
      <c r="I28" s="38" t="s">
        <v>97</v>
      </c>
      <c r="J28" s="38" t="s">
        <v>96</v>
      </c>
      <c r="K28" s="36"/>
      <c r="L28" s="36" t="s">
        <v>91</v>
      </c>
      <c r="M28" s="50"/>
      <c r="N28" s="38" t="s">
        <v>91</v>
      </c>
      <c r="O28" s="49"/>
      <c r="P28" s="43" t="s">
        <v>99</v>
      </c>
      <c r="Q28" s="50" t="s">
        <v>91</v>
      </c>
      <c r="R28" s="49"/>
      <c r="S28" s="79" t="s">
        <v>90</v>
      </c>
      <c r="T28" s="38" t="s">
        <v>119</v>
      </c>
      <c r="U28" s="50" t="s">
        <v>169</v>
      </c>
      <c r="V28" s="36" t="s">
        <v>91</v>
      </c>
      <c r="W28" s="50"/>
      <c r="X28" s="38" t="s">
        <v>91</v>
      </c>
      <c r="Y28" s="49"/>
      <c r="Z28" s="60">
        <v>1</v>
      </c>
      <c r="AA28" s="50">
        <v>2</v>
      </c>
      <c r="AB28" s="50">
        <v>2</v>
      </c>
      <c r="AC28" s="50">
        <v>2</v>
      </c>
      <c r="AD28" s="50">
        <v>2</v>
      </c>
      <c r="AE28" s="50">
        <v>2</v>
      </c>
      <c r="AF28" s="50">
        <v>2</v>
      </c>
      <c r="AG28" s="50">
        <v>2</v>
      </c>
      <c r="AH28" s="50">
        <v>2</v>
      </c>
      <c r="AI28" s="50">
        <v>2</v>
      </c>
      <c r="AJ28" s="50">
        <v>2</v>
      </c>
      <c r="AK28" s="61">
        <v>2</v>
      </c>
      <c r="AL28" s="50">
        <v>2</v>
      </c>
      <c r="AM28" s="50">
        <v>2</v>
      </c>
      <c r="AN28" s="50">
        <v>3</v>
      </c>
      <c r="AO28" s="50">
        <v>2</v>
      </c>
      <c r="AP28" s="50">
        <v>2</v>
      </c>
      <c r="AQ28" s="50">
        <v>2</v>
      </c>
      <c r="AR28" s="50">
        <v>1</v>
      </c>
      <c r="AS28" s="50">
        <v>1</v>
      </c>
      <c r="AT28" s="50">
        <v>3</v>
      </c>
      <c r="AU28" s="50">
        <v>2</v>
      </c>
      <c r="AV28" s="50">
        <v>1</v>
      </c>
      <c r="AW28" s="50">
        <v>2</v>
      </c>
      <c r="AX28" s="60">
        <v>1</v>
      </c>
      <c r="AY28" s="50">
        <v>1</v>
      </c>
      <c r="AZ28" s="50">
        <v>1</v>
      </c>
      <c r="BA28" s="50">
        <v>1</v>
      </c>
      <c r="BB28" s="50">
        <v>1</v>
      </c>
      <c r="BC28" s="50">
        <v>1</v>
      </c>
      <c r="BD28" s="50">
        <v>1</v>
      </c>
      <c r="BE28" s="61">
        <v>1</v>
      </c>
      <c r="BF28" s="60">
        <v>1</v>
      </c>
      <c r="BG28" s="50">
        <v>1</v>
      </c>
      <c r="BH28" s="50">
        <v>2</v>
      </c>
      <c r="BI28" s="50">
        <v>1</v>
      </c>
      <c r="BJ28" s="50">
        <v>1</v>
      </c>
      <c r="BK28" s="50">
        <v>1</v>
      </c>
      <c r="BL28" s="38">
        <v>2</v>
      </c>
      <c r="BM28" s="45">
        <v>3</v>
      </c>
      <c r="BN28" s="44">
        <v>2</v>
      </c>
      <c r="BO28" s="38">
        <v>2</v>
      </c>
      <c r="BP28" s="38">
        <v>2</v>
      </c>
      <c r="BQ28" s="38">
        <v>2</v>
      </c>
      <c r="BR28" s="38">
        <v>3</v>
      </c>
      <c r="BS28" s="38">
        <v>2</v>
      </c>
      <c r="BT28" s="38">
        <v>2</v>
      </c>
      <c r="BU28" s="45">
        <v>2</v>
      </c>
      <c r="BV28" s="44">
        <v>2</v>
      </c>
      <c r="BW28" s="38">
        <v>2</v>
      </c>
      <c r="BX28" s="38">
        <v>2</v>
      </c>
      <c r="BY28" s="38">
        <v>1</v>
      </c>
      <c r="BZ28" s="45">
        <v>2</v>
      </c>
      <c r="CA28" s="44">
        <v>2</v>
      </c>
      <c r="CB28" s="38">
        <v>1</v>
      </c>
      <c r="CC28" s="38">
        <v>2</v>
      </c>
      <c r="CD28" s="38">
        <v>1</v>
      </c>
      <c r="CE28" s="45">
        <v>2</v>
      </c>
      <c r="CF28" s="44">
        <v>2</v>
      </c>
      <c r="CG28" s="38">
        <v>3</v>
      </c>
      <c r="CH28" s="38">
        <v>3</v>
      </c>
      <c r="CI28" s="38">
        <v>2</v>
      </c>
      <c r="CJ28" s="45">
        <v>3</v>
      </c>
      <c r="CK28" s="44">
        <v>2</v>
      </c>
      <c r="CL28" s="38">
        <v>2</v>
      </c>
      <c r="CM28" s="38">
        <v>2</v>
      </c>
      <c r="CN28" s="38">
        <v>2</v>
      </c>
      <c r="CO28" s="45">
        <v>2</v>
      </c>
      <c r="CP28" s="44">
        <v>2</v>
      </c>
      <c r="CQ28" s="38">
        <v>2</v>
      </c>
      <c r="CR28" s="38">
        <v>1</v>
      </c>
      <c r="CS28" s="38">
        <v>2</v>
      </c>
      <c r="CT28" s="45">
        <v>2</v>
      </c>
    </row>
    <row r="29" spans="1:98" ht="15" x14ac:dyDescent="0.25">
      <c r="A29" s="82" t="s">
        <v>156</v>
      </c>
      <c r="B29" s="46">
        <v>49</v>
      </c>
      <c r="C29" s="46">
        <v>53</v>
      </c>
      <c r="D29" s="46">
        <v>48</v>
      </c>
      <c r="E29" s="33">
        <v>49.75</v>
      </c>
      <c r="F29" s="34" t="s">
        <v>126</v>
      </c>
      <c r="G29" s="47">
        <v>2.1120999999999999</v>
      </c>
      <c r="H29" s="35">
        <v>45870</v>
      </c>
      <c r="I29" s="36" t="s">
        <v>101</v>
      </c>
      <c r="J29" s="38" t="s">
        <v>96</v>
      </c>
      <c r="K29" s="49"/>
      <c r="L29" s="36" t="s">
        <v>91</v>
      </c>
      <c r="M29" s="50"/>
      <c r="N29" s="48" t="s">
        <v>90</v>
      </c>
      <c r="O29" s="48" t="s">
        <v>162</v>
      </c>
      <c r="P29" s="48" t="s">
        <v>94</v>
      </c>
      <c r="Q29" s="50" t="s">
        <v>91</v>
      </c>
      <c r="R29" s="49"/>
      <c r="S29" s="79" t="s">
        <v>90</v>
      </c>
      <c r="T29" s="38" t="s">
        <v>95</v>
      </c>
      <c r="U29" s="49"/>
      <c r="V29" s="38" t="s">
        <v>90</v>
      </c>
      <c r="W29" s="38" t="s">
        <v>114</v>
      </c>
      <c r="X29" s="38" t="s">
        <v>91</v>
      </c>
      <c r="Y29" s="49"/>
      <c r="Z29" s="44">
        <v>3</v>
      </c>
      <c r="AA29" s="38">
        <v>3</v>
      </c>
      <c r="AB29" s="38">
        <v>3</v>
      </c>
      <c r="AC29" s="38">
        <v>2</v>
      </c>
      <c r="AD29" s="38">
        <v>2</v>
      </c>
      <c r="AE29" s="36">
        <v>3</v>
      </c>
      <c r="AF29" s="38">
        <v>3</v>
      </c>
      <c r="AG29" s="38">
        <v>3</v>
      </c>
      <c r="AH29" s="38">
        <v>3</v>
      </c>
      <c r="AI29" s="38">
        <v>2</v>
      </c>
      <c r="AJ29" s="38">
        <v>2</v>
      </c>
      <c r="AK29" s="45">
        <v>2</v>
      </c>
      <c r="AL29" s="79">
        <v>2</v>
      </c>
      <c r="AM29" s="38">
        <v>3</v>
      </c>
      <c r="AN29" s="38">
        <v>2</v>
      </c>
      <c r="AO29" s="38">
        <v>3</v>
      </c>
      <c r="AP29" s="36">
        <v>3</v>
      </c>
      <c r="AQ29" s="38">
        <v>2</v>
      </c>
      <c r="AR29" s="38">
        <v>2</v>
      </c>
      <c r="AS29" s="38">
        <v>2</v>
      </c>
      <c r="AT29" s="38">
        <v>2</v>
      </c>
      <c r="AU29" s="38">
        <v>2</v>
      </c>
      <c r="AV29" s="38">
        <v>2</v>
      </c>
      <c r="AW29" s="43">
        <v>2</v>
      </c>
      <c r="AX29" s="44">
        <v>1</v>
      </c>
      <c r="AY29" s="38">
        <v>1</v>
      </c>
      <c r="AZ29" s="38">
        <v>1</v>
      </c>
      <c r="BA29" s="36">
        <v>1</v>
      </c>
      <c r="BB29" s="38">
        <v>1</v>
      </c>
      <c r="BC29" s="38">
        <v>1</v>
      </c>
      <c r="BD29" s="38">
        <v>1</v>
      </c>
      <c r="BE29" s="45">
        <v>1</v>
      </c>
      <c r="BF29" s="44">
        <v>1</v>
      </c>
      <c r="BG29" s="38">
        <v>1</v>
      </c>
      <c r="BH29" s="38">
        <v>2</v>
      </c>
      <c r="BI29" s="38">
        <v>1</v>
      </c>
      <c r="BJ29" s="38">
        <v>1</v>
      </c>
      <c r="BK29" s="38">
        <v>2</v>
      </c>
      <c r="BL29" s="36">
        <v>1</v>
      </c>
      <c r="BM29" s="45">
        <v>1</v>
      </c>
      <c r="BN29" s="44">
        <v>1</v>
      </c>
      <c r="BO29" s="38">
        <v>1</v>
      </c>
      <c r="BP29" s="38">
        <v>1</v>
      </c>
      <c r="BQ29" s="38">
        <v>1</v>
      </c>
      <c r="BR29" s="38">
        <v>1</v>
      </c>
      <c r="BS29" s="38">
        <v>1</v>
      </c>
      <c r="BT29" s="38">
        <v>1</v>
      </c>
      <c r="BU29" s="45">
        <v>3</v>
      </c>
      <c r="BV29" s="44">
        <v>1</v>
      </c>
      <c r="BW29" s="36">
        <v>1</v>
      </c>
      <c r="BX29" s="38">
        <v>1</v>
      </c>
      <c r="BY29" s="38">
        <v>1</v>
      </c>
      <c r="BZ29" s="45">
        <v>3</v>
      </c>
      <c r="CA29" s="44">
        <v>2</v>
      </c>
      <c r="CB29" s="38">
        <v>3</v>
      </c>
      <c r="CC29" s="38">
        <v>1</v>
      </c>
      <c r="CD29" s="38">
        <v>2</v>
      </c>
      <c r="CE29" s="45">
        <v>1</v>
      </c>
      <c r="CF29" s="44">
        <v>2</v>
      </c>
      <c r="CG29" s="38">
        <v>2</v>
      </c>
      <c r="CH29" s="36">
        <v>3</v>
      </c>
      <c r="CI29" s="38">
        <v>2</v>
      </c>
      <c r="CJ29" s="45">
        <v>1</v>
      </c>
      <c r="CK29" s="44">
        <v>2</v>
      </c>
      <c r="CL29" s="38">
        <v>2</v>
      </c>
      <c r="CM29" s="38">
        <v>2</v>
      </c>
      <c r="CN29" s="36">
        <v>2</v>
      </c>
      <c r="CO29" s="45">
        <v>2</v>
      </c>
      <c r="CP29" s="44">
        <v>2</v>
      </c>
      <c r="CQ29" s="38">
        <v>2</v>
      </c>
      <c r="CR29" s="38">
        <v>2</v>
      </c>
      <c r="CS29" s="38">
        <v>1</v>
      </c>
      <c r="CT29" s="45">
        <v>2</v>
      </c>
    </row>
    <row r="30" spans="1:98" ht="15" x14ac:dyDescent="0.25">
      <c r="A30" s="82" t="s">
        <v>150</v>
      </c>
      <c r="B30" s="46">
        <v>57</v>
      </c>
      <c r="C30" s="46">
        <v>74</v>
      </c>
      <c r="D30" s="46">
        <v>60</v>
      </c>
      <c r="E30" s="33">
        <v>63.45</v>
      </c>
      <c r="F30" s="34" t="s">
        <v>126</v>
      </c>
      <c r="G30" s="34">
        <v>1.9821</v>
      </c>
      <c r="H30" s="35">
        <v>45870</v>
      </c>
      <c r="I30" s="38" t="s">
        <v>97</v>
      </c>
      <c r="J30" s="38" t="s">
        <v>96</v>
      </c>
      <c r="K30" s="49"/>
      <c r="L30" s="36" t="s">
        <v>91</v>
      </c>
      <c r="M30" s="50"/>
      <c r="N30" s="38" t="s">
        <v>91</v>
      </c>
      <c r="O30" s="49"/>
      <c r="P30" s="48" t="s">
        <v>94</v>
      </c>
      <c r="Q30" s="50" t="s">
        <v>91</v>
      </c>
      <c r="R30" s="49"/>
      <c r="S30" s="79" t="s">
        <v>91</v>
      </c>
      <c r="T30" s="38" t="s">
        <v>119</v>
      </c>
      <c r="U30" s="49"/>
      <c r="V30" s="38" t="s">
        <v>91</v>
      </c>
      <c r="W30" s="50"/>
      <c r="X30" s="38" t="s">
        <v>91</v>
      </c>
      <c r="Y30" s="49"/>
      <c r="Z30" s="44">
        <v>2</v>
      </c>
      <c r="AA30" s="38">
        <v>1</v>
      </c>
      <c r="AB30" s="38">
        <v>2</v>
      </c>
      <c r="AC30" s="38">
        <v>2</v>
      </c>
      <c r="AD30" s="38">
        <v>2</v>
      </c>
      <c r="AE30" s="38">
        <v>2</v>
      </c>
      <c r="AF30" s="38">
        <v>2</v>
      </c>
      <c r="AG30" s="38">
        <v>2</v>
      </c>
      <c r="AH30" s="38">
        <v>2</v>
      </c>
      <c r="AI30" s="38">
        <v>2</v>
      </c>
      <c r="AJ30" s="38">
        <v>2</v>
      </c>
      <c r="AK30" s="45">
        <v>2</v>
      </c>
      <c r="AL30" s="79">
        <v>2</v>
      </c>
      <c r="AM30" s="38">
        <v>2</v>
      </c>
      <c r="AN30" s="38">
        <v>2</v>
      </c>
      <c r="AO30" s="38">
        <v>3</v>
      </c>
      <c r="AP30" s="38">
        <v>3</v>
      </c>
      <c r="AQ30" s="38">
        <v>1</v>
      </c>
      <c r="AR30" s="38">
        <v>1</v>
      </c>
      <c r="AS30" s="38">
        <v>1</v>
      </c>
      <c r="AT30" s="38">
        <v>3</v>
      </c>
      <c r="AU30" s="38">
        <v>2</v>
      </c>
      <c r="AV30" s="38">
        <v>1</v>
      </c>
      <c r="AW30" s="43">
        <v>1</v>
      </c>
      <c r="AX30" s="44">
        <v>1</v>
      </c>
      <c r="AY30" s="38">
        <v>1</v>
      </c>
      <c r="AZ30" s="38">
        <v>1</v>
      </c>
      <c r="BA30" s="38">
        <v>1</v>
      </c>
      <c r="BB30" s="38">
        <v>1</v>
      </c>
      <c r="BC30" s="38">
        <v>1</v>
      </c>
      <c r="BD30" s="38">
        <v>1</v>
      </c>
      <c r="BE30" s="45">
        <v>1</v>
      </c>
      <c r="BF30" s="44">
        <v>1</v>
      </c>
      <c r="BG30" s="38">
        <v>1</v>
      </c>
      <c r="BH30" s="38">
        <v>2</v>
      </c>
      <c r="BI30" s="38">
        <v>1</v>
      </c>
      <c r="BJ30" s="38">
        <v>1</v>
      </c>
      <c r="BK30" s="38">
        <v>1</v>
      </c>
      <c r="BL30" s="38">
        <v>1</v>
      </c>
      <c r="BM30" s="45">
        <v>1</v>
      </c>
      <c r="BN30" s="44">
        <v>1</v>
      </c>
      <c r="BO30" s="38">
        <v>1</v>
      </c>
      <c r="BP30" s="38">
        <v>1</v>
      </c>
      <c r="BQ30" s="38">
        <v>2</v>
      </c>
      <c r="BR30" s="38">
        <v>2</v>
      </c>
      <c r="BS30" s="38">
        <v>2</v>
      </c>
      <c r="BT30" s="38">
        <v>1</v>
      </c>
      <c r="BU30" s="45">
        <v>2</v>
      </c>
      <c r="BV30" s="44">
        <v>1</v>
      </c>
      <c r="BW30" s="38">
        <v>1</v>
      </c>
      <c r="BX30" s="38">
        <v>1</v>
      </c>
      <c r="BY30" s="38">
        <v>1</v>
      </c>
      <c r="BZ30" s="45">
        <v>3</v>
      </c>
      <c r="CA30" s="44">
        <v>4</v>
      </c>
      <c r="CB30" s="38">
        <v>3</v>
      </c>
      <c r="CC30" s="38">
        <v>3</v>
      </c>
      <c r="CD30" s="38">
        <v>3</v>
      </c>
      <c r="CE30" s="45">
        <v>2</v>
      </c>
      <c r="CF30" s="44">
        <v>2</v>
      </c>
      <c r="CG30" s="38">
        <v>3</v>
      </c>
      <c r="CH30" s="38">
        <v>3</v>
      </c>
      <c r="CI30" s="38">
        <v>3</v>
      </c>
      <c r="CJ30" s="45">
        <v>2</v>
      </c>
      <c r="CK30" s="44">
        <v>1</v>
      </c>
      <c r="CL30" s="38">
        <v>2</v>
      </c>
      <c r="CM30" s="38">
        <v>2</v>
      </c>
      <c r="CN30" s="38">
        <v>2</v>
      </c>
      <c r="CO30" s="45">
        <v>3</v>
      </c>
      <c r="CP30" s="44">
        <v>2</v>
      </c>
      <c r="CQ30" s="38">
        <v>3</v>
      </c>
      <c r="CR30" s="38">
        <v>2</v>
      </c>
      <c r="CS30" s="38">
        <v>2</v>
      </c>
      <c r="CT30" s="41">
        <v>1</v>
      </c>
    </row>
    <row r="31" spans="1:98" ht="15" x14ac:dyDescent="0.25">
      <c r="A31" s="82" t="s">
        <v>152</v>
      </c>
      <c r="B31" s="46">
        <v>50</v>
      </c>
      <c r="C31" s="46">
        <v>48</v>
      </c>
      <c r="D31" s="46">
        <v>48</v>
      </c>
      <c r="E31" s="33">
        <v>48.5</v>
      </c>
      <c r="F31" s="34" t="s">
        <v>126</v>
      </c>
      <c r="G31" s="47">
        <v>2.3443000000000001</v>
      </c>
      <c r="H31" s="35">
        <v>45870</v>
      </c>
      <c r="I31" s="50" t="s">
        <v>101</v>
      </c>
      <c r="J31" s="38" t="s">
        <v>96</v>
      </c>
      <c r="K31" s="49"/>
      <c r="L31" s="36" t="s">
        <v>91</v>
      </c>
      <c r="M31" s="50"/>
      <c r="N31" s="38" t="s">
        <v>91</v>
      </c>
      <c r="O31" s="49"/>
      <c r="P31" s="43" t="s">
        <v>103</v>
      </c>
      <c r="Q31" s="50" t="s">
        <v>91</v>
      </c>
      <c r="R31" s="49"/>
      <c r="S31" s="79" t="s">
        <v>90</v>
      </c>
      <c r="T31" s="38" t="s">
        <v>95</v>
      </c>
      <c r="U31" s="38" t="s">
        <v>172</v>
      </c>
      <c r="V31" s="36" t="s">
        <v>90</v>
      </c>
      <c r="W31" s="36" t="s">
        <v>173</v>
      </c>
      <c r="X31" s="36" t="s">
        <v>91</v>
      </c>
      <c r="Y31" s="49"/>
      <c r="Z31" s="44">
        <v>2</v>
      </c>
      <c r="AA31" s="38">
        <v>2</v>
      </c>
      <c r="AB31" s="38">
        <v>2</v>
      </c>
      <c r="AC31" s="38">
        <v>2</v>
      </c>
      <c r="AD31" s="38">
        <v>3</v>
      </c>
      <c r="AE31" s="38">
        <v>2</v>
      </c>
      <c r="AF31" s="38">
        <v>2</v>
      </c>
      <c r="AG31" s="38">
        <v>3</v>
      </c>
      <c r="AH31" s="38">
        <v>2</v>
      </c>
      <c r="AI31" s="38">
        <v>2</v>
      </c>
      <c r="AJ31" s="38">
        <v>2</v>
      </c>
      <c r="AK31" s="45">
        <v>2</v>
      </c>
      <c r="AL31" s="79">
        <v>2</v>
      </c>
      <c r="AM31" s="38">
        <v>2</v>
      </c>
      <c r="AN31" s="38">
        <v>3</v>
      </c>
      <c r="AO31" s="38">
        <v>3</v>
      </c>
      <c r="AP31" s="38">
        <v>3</v>
      </c>
      <c r="AQ31" s="38">
        <v>2</v>
      </c>
      <c r="AR31" s="38">
        <v>2</v>
      </c>
      <c r="AS31" s="38">
        <v>2</v>
      </c>
      <c r="AT31" s="38">
        <v>3</v>
      </c>
      <c r="AU31" s="38">
        <v>2</v>
      </c>
      <c r="AV31" s="38">
        <v>1</v>
      </c>
      <c r="AW31" s="43">
        <v>2</v>
      </c>
      <c r="AX31" s="44">
        <v>4</v>
      </c>
      <c r="AY31" s="38">
        <v>1</v>
      </c>
      <c r="AZ31" s="38">
        <v>1</v>
      </c>
      <c r="BA31" s="38">
        <v>1</v>
      </c>
      <c r="BB31" s="38">
        <v>1</v>
      </c>
      <c r="BC31" s="38">
        <v>1</v>
      </c>
      <c r="BD31" s="38">
        <v>1</v>
      </c>
      <c r="BE31" s="45">
        <v>1</v>
      </c>
      <c r="BF31" s="44">
        <v>1</v>
      </c>
      <c r="BG31" s="38">
        <v>1</v>
      </c>
      <c r="BH31" s="38">
        <v>2</v>
      </c>
      <c r="BI31" s="38">
        <v>1</v>
      </c>
      <c r="BJ31" s="38">
        <v>1</v>
      </c>
      <c r="BK31" s="38">
        <v>1</v>
      </c>
      <c r="BL31" s="38">
        <v>2</v>
      </c>
      <c r="BM31" s="45">
        <v>3</v>
      </c>
      <c r="BN31" s="44">
        <v>1</v>
      </c>
      <c r="BO31" s="38">
        <v>1</v>
      </c>
      <c r="BP31" s="38">
        <v>1</v>
      </c>
      <c r="BQ31" s="38">
        <v>2</v>
      </c>
      <c r="BR31" s="38">
        <v>2</v>
      </c>
      <c r="BS31" s="38">
        <v>3</v>
      </c>
      <c r="BT31" s="38">
        <v>1</v>
      </c>
      <c r="BU31" s="45">
        <v>2</v>
      </c>
      <c r="BV31" s="44">
        <v>1</v>
      </c>
      <c r="BW31" s="38">
        <v>1</v>
      </c>
      <c r="BX31" s="38">
        <v>1</v>
      </c>
      <c r="BY31" s="38">
        <v>1</v>
      </c>
      <c r="BZ31" s="45">
        <v>3</v>
      </c>
      <c r="CA31" s="44">
        <v>4</v>
      </c>
      <c r="CB31" s="38">
        <v>3</v>
      </c>
      <c r="CC31" s="38">
        <v>3</v>
      </c>
      <c r="CD31" s="38">
        <v>3</v>
      </c>
      <c r="CE31" s="45">
        <v>2</v>
      </c>
      <c r="CF31" s="44">
        <v>2</v>
      </c>
      <c r="CG31" s="38">
        <v>3</v>
      </c>
      <c r="CH31" s="38">
        <v>3</v>
      </c>
      <c r="CI31" s="38">
        <v>3</v>
      </c>
      <c r="CJ31" s="45">
        <v>3</v>
      </c>
      <c r="CK31" s="44">
        <v>2</v>
      </c>
      <c r="CL31" s="38">
        <v>2</v>
      </c>
      <c r="CM31" s="38">
        <v>2</v>
      </c>
      <c r="CN31" s="38">
        <v>2</v>
      </c>
      <c r="CO31" s="45">
        <v>2</v>
      </c>
      <c r="CP31" s="44">
        <v>3</v>
      </c>
      <c r="CQ31" s="38">
        <v>3</v>
      </c>
      <c r="CR31" s="38">
        <v>2</v>
      </c>
      <c r="CS31" s="38">
        <v>2</v>
      </c>
      <c r="CT31" s="41">
        <v>1</v>
      </c>
    </row>
    <row r="32" spans="1:98" ht="15" x14ac:dyDescent="0.25">
      <c r="A32" s="68" t="s">
        <v>149</v>
      </c>
      <c r="B32" s="33">
        <v>53</v>
      </c>
      <c r="C32" s="33">
        <v>48</v>
      </c>
      <c r="D32" s="33">
        <v>38</v>
      </c>
      <c r="E32" s="33">
        <v>44.75</v>
      </c>
      <c r="F32" s="34" t="s">
        <v>126</v>
      </c>
      <c r="G32" s="47">
        <v>2.4415</v>
      </c>
      <c r="H32" s="35">
        <v>45870</v>
      </c>
      <c r="I32" s="38" t="s">
        <v>111</v>
      </c>
      <c r="J32" s="38" t="s">
        <v>89</v>
      </c>
      <c r="K32" s="38" t="s">
        <v>108</v>
      </c>
      <c r="L32" s="38" t="s">
        <v>90</v>
      </c>
      <c r="M32" s="38" t="s">
        <v>93</v>
      </c>
      <c r="N32" s="38" t="s">
        <v>91</v>
      </c>
      <c r="O32" s="49"/>
      <c r="P32" s="43" t="s">
        <v>99</v>
      </c>
      <c r="Q32" s="50" t="s">
        <v>91</v>
      </c>
      <c r="R32" s="49"/>
      <c r="S32" s="79" t="s">
        <v>90</v>
      </c>
      <c r="T32" s="38" t="s">
        <v>119</v>
      </c>
      <c r="U32" s="50" t="s">
        <v>168</v>
      </c>
      <c r="V32" s="38" t="s">
        <v>90</v>
      </c>
      <c r="W32" s="38" t="s">
        <v>92</v>
      </c>
      <c r="X32" s="50" t="s">
        <v>90</v>
      </c>
      <c r="Y32" s="49" t="s">
        <v>174</v>
      </c>
      <c r="Z32" s="44">
        <v>3</v>
      </c>
      <c r="AA32" s="38">
        <v>2</v>
      </c>
      <c r="AB32" s="38">
        <v>3</v>
      </c>
      <c r="AC32" s="38">
        <v>3</v>
      </c>
      <c r="AD32" s="38">
        <v>3</v>
      </c>
      <c r="AE32" s="38">
        <v>2</v>
      </c>
      <c r="AF32" s="38">
        <v>2</v>
      </c>
      <c r="AG32" s="38">
        <v>3</v>
      </c>
      <c r="AH32" s="38">
        <v>2</v>
      </c>
      <c r="AI32" s="38">
        <v>2</v>
      </c>
      <c r="AJ32" s="38">
        <v>2</v>
      </c>
      <c r="AK32" s="45">
        <v>2</v>
      </c>
      <c r="AL32" s="79">
        <v>2</v>
      </c>
      <c r="AM32" s="38">
        <v>3</v>
      </c>
      <c r="AN32" s="38">
        <v>3</v>
      </c>
      <c r="AO32" s="38">
        <v>2</v>
      </c>
      <c r="AP32" s="38">
        <v>2</v>
      </c>
      <c r="AQ32" s="38">
        <v>2</v>
      </c>
      <c r="AR32" s="38">
        <v>1</v>
      </c>
      <c r="AS32" s="38">
        <v>1</v>
      </c>
      <c r="AT32" s="38">
        <v>3</v>
      </c>
      <c r="AU32" s="38">
        <v>2</v>
      </c>
      <c r="AV32" s="38">
        <v>2</v>
      </c>
      <c r="AW32" s="43">
        <v>1</v>
      </c>
      <c r="AX32" s="44">
        <v>3</v>
      </c>
      <c r="AY32" s="38">
        <v>1</v>
      </c>
      <c r="AZ32" s="38">
        <v>2</v>
      </c>
      <c r="BA32" s="38">
        <v>2</v>
      </c>
      <c r="BB32" s="38">
        <v>2</v>
      </c>
      <c r="BC32" s="38">
        <v>2</v>
      </c>
      <c r="BD32" s="38">
        <v>2</v>
      </c>
      <c r="BE32" s="45">
        <v>2</v>
      </c>
      <c r="BF32" s="44">
        <v>1</v>
      </c>
      <c r="BG32" s="38">
        <v>1</v>
      </c>
      <c r="BH32" s="38">
        <v>2</v>
      </c>
      <c r="BI32" s="38">
        <v>1</v>
      </c>
      <c r="BJ32" s="38">
        <v>1</v>
      </c>
      <c r="BK32" s="38">
        <v>3</v>
      </c>
      <c r="BL32" s="38">
        <v>3</v>
      </c>
      <c r="BM32" s="45">
        <v>4</v>
      </c>
      <c r="BN32" s="44">
        <v>1</v>
      </c>
      <c r="BO32" s="38">
        <v>1</v>
      </c>
      <c r="BP32" s="38">
        <v>1</v>
      </c>
      <c r="BQ32" s="38">
        <v>1</v>
      </c>
      <c r="BR32" s="38">
        <v>2</v>
      </c>
      <c r="BS32" s="38">
        <v>1</v>
      </c>
      <c r="BT32" s="38">
        <v>1</v>
      </c>
      <c r="BU32" s="45">
        <v>1</v>
      </c>
      <c r="BV32" s="44">
        <v>1</v>
      </c>
      <c r="BW32" s="38">
        <v>1</v>
      </c>
      <c r="BX32" s="38">
        <v>1</v>
      </c>
      <c r="BY32" s="38">
        <v>1</v>
      </c>
      <c r="BZ32" s="45">
        <v>3</v>
      </c>
      <c r="CA32" s="44">
        <v>3</v>
      </c>
      <c r="CB32" s="38">
        <v>3</v>
      </c>
      <c r="CC32" s="38">
        <v>3</v>
      </c>
      <c r="CD32" s="38">
        <v>3</v>
      </c>
      <c r="CE32" s="45">
        <v>2</v>
      </c>
      <c r="CF32" s="44">
        <v>3</v>
      </c>
      <c r="CG32" s="38">
        <v>3</v>
      </c>
      <c r="CH32" s="38">
        <v>3</v>
      </c>
      <c r="CI32" s="38">
        <v>3</v>
      </c>
      <c r="CJ32" s="45">
        <v>2</v>
      </c>
      <c r="CK32" s="44">
        <v>1</v>
      </c>
      <c r="CL32" s="38">
        <v>2</v>
      </c>
      <c r="CM32" s="38">
        <v>2</v>
      </c>
      <c r="CN32" s="38">
        <v>3</v>
      </c>
      <c r="CO32" s="45">
        <v>2</v>
      </c>
      <c r="CP32" s="44">
        <v>2</v>
      </c>
      <c r="CQ32" s="38">
        <v>2</v>
      </c>
      <c r="CR32" s="38">
        <v>2</v>
      </c>
      <c r="CS32" s="38">
        <v>2</v>
      </c>
      <c r="CT32" s="41">
        <v>1</v>
      </c>
    </row>
    <row r="33" spans="1:98" ht="15" x14ac:dyDescent="0.25">
      <c r="A33" s="82" t="s">
        <v>145</v>
      </c>
      <c r="B33" s="46">
        <v>59</v>
      </c>
      <c r="C33" s="46">
        <v>59</v>
      </c>
      <c r="D33" s="46">
        <v>64</v>
      </c>
      <c r="E33" s="33">
        <v>61.25</v>
      </c>
      <c r="F33" s="34" t="s">
        <v>126</v>
      </c>
      <c r="G33" s="47">
        <v>2.0099999999999998</v>
      </c>
      <c r="H33" s="35">
        <v>45870</v>
      </c>
      <c r="I33" s="38" t="s">
        <v>97</v>
      </c>
      <c r="J33" s="38" t="s">
        <v>96</v>
      </c>
      <c r="K33" s="49"/>
      <c r="L33" s="36" t="s">
        <v>91</v>
      </c>
      <c r="M33" s="50"/>
      <c r="N33" s="38" t="s">
        <v>91</v>
      </c>
      <c r="O33" s="49"/>
      <c r="P33" s="39" t="s">
        <v>103</v>
      </c>
      <c r="Q33" s="50" t="s">
        <v>91</v>
      </c>
      <c r="R33" s="49"/>
      <c r="S33" s="79" t="s">
        <v>91</v>
      </c>
      <c r="T33" s="38" t="s">
        <v>119</v>
      </c>
      <c r="U33" s="50"/>
      <c r="V33" s="38" t="s">
        <v>91</v>
      </c>
      <c r="W33" s="50"/>
      <c r="X33" s="38" t="s">
        <v>91</v>
      </c>
      <c r="Y33" s="49"/>
      <c r="Z33" s="44">
        <v>2</v>
      </c>
      <c r="AA33" s="38">
        <v>2</v>
      </c>
      <c r="AB33" s="38">
        <v>3</v>
      </c>
      <c r="AC33" s="38">
        <v>2</v>
      </c>
      <c r="AD33" s="38">
        <v>2</v>
      </c>
      <c r="AE33" s="38">
        <v>3</v>
      </c>
      <c r="AF33" s="38">
        <v>2</v>
      </c>
      <c r="AG33" s="38">
        <v>2</v>
      </c>
      <c r="AH33" s="38">
        <v>2</v>
      </c>
      <c r="AI33" s="38">
        <v>3</v>
      </c>
      <c r="AJ33" s="38">
        <v>2</v>
      </c>
      <c r="AK33" s="45">
        <v>3</v>
      </c>
      <c r="AL33" s="79">
        <v>2</v>
      </c>
      <c r="AM33" s="38">
        <v>3</v>
      </c>
      <c r="AN33" s="38">
        <v>3</v>
      </c>
      <c r="AO33" s="38">
        <v>3</v>
      </c>
      <c r="AP33" s="38">
        <v>2</v>
      </c>
      <c r="AQ33" s="38">
        <v>1</v>
      </c>
      <c r="AR33" s="38">
        <v>1</v>
      </c>
      <c r="AS33" s="38">
        <v>1</v>
      </c>
      <c r="AT33" s="38">
        <v>1</v>
      </c>
      <c r="AU33" s="38">
        <v>2</v>
      </c>
      <c r="AV33" s="38">
        <v>1</v>
      </c>
      <c r="AW33" s="43">
        <v>1</v>
      </c>
      <c r="AX33" s="44">
        <v>1</v>
      </c>
      <c r="AY33" s="38">
        <v>1</v>
      </c>
      <c r="AZ33" s="38">
        <v>1</v>
      </c>
      <c r="BA33" s="38">
        <v>1</v>
      </c>
      <c r="BB33" s="38">
        <v>4</v>
      </c>
      <c r="BC33" s="38">
        <v>1</v>
      </c>
      <c r="BD33" s="38">
        <v>1</v>
      </c>
      <c r="BE33" s="45">
        <v>1</v>
      </c>
      <c r="BF33" s="44">
        <v>1</v>
      </c>
      <c r="BG33" s="38">
        <v>1</v>
      </c>
      <c r="BH33" s="38">
        <v>2</v>
      </c>
      <c r="BI33" s="38">
        <v>1</v>
      </c>
      <c r="BJ33" s="38">
        <v>1</v>
      </c>
      <c r="BK33" s="38">
        <v>3</v>
      </c>
      <c r="BL33" s="38">
        <v>4</v>
      </c>
      <c r="BM33" s="45">
        <v>3</v>
      </c>
      <c r="BN33" s="44">
        <v>1</v>
      </c>
      <c r="BO33" s="38">
        <v>1</v>
      </c>
      <c r="BP33" s="38">
        <v>1</v>
      </c>
      <c r="BQ33" s="38">
        <v>2</v>
      </c>
      <c r="BR33" s="38">
        <v>3</v>
      </c>
      <c r="BS33" s="38">
        <v>1</v>
      </c>
      <c r="BT33" s="38">
        <v>2</v>
      </c>
      <c r="BU33" s="45">
        <v>1</v>
      </c>
      <c r="BV33" s="44">
        <v>1</v>
      </c>
      <c r="BW33" s="38">
        <v>1</v>
      </c>
      <c r="BX33" s="38">
        <v>1</v>
      </c>
      <c r="BY33" s="38">
        <v>1</v>
      </c>
      <c r="BZ33" s="45">
        <v>3</v>
      </c>
      <c r="CA33" s="44">
        <v>2</v>
      </c>
      <c r="CB33" s="38">
        <v>3</v>
      </c>
      <c r="CC33" s="38">
        <v>3</v>
      </c>
      <c r="CD33" s="38">
        <v>3</v>
      </c>
      <c r="CE33" s="45">
        <v>2</v>
      </c>
      <c r="CF33" s="44">
        <v>3</v>
      </c>
      <c r="CG33" s="38">
        <v>3</v>
      </c>
      <c r="CH33" s="38">
        <v>3</v>
      </c>
      <c r="CI33" s="38">
        <v>3</v>
      </c>
      <c r="CJ33" s="45">
        <v>2</v>
      </c>
      <c r="CK33" s="44">
        <v>1</v>
      </c>
      <c r="CL33" s="38">
        <v>3</v>
      </c>
      <c r="CM33" s="38">
        <v>3</v>
      </c>
      <c r="CN33" s="38">
        <v>3</v>
      </c>
      <c r="CO33" s="45">
        <v>2</v>
      </c>
      <c r="CP33" s="44">
        <v>3</v>
      </c>
      <c r="CQ33" s="38">
        <v>3</v>
      </c>
      <c r="CR33" s="38">
        <v>2</v>
      </c>
      <c r="CS33" s="38">
        <v>3</v>
      </c>
      <c r="CT33" s="41">
        <v>2</v>
      </c>
    </row>
    <row r="34" spans="1:98" ht="15" x14ac:dyDescent="0.25">
      <c r="A34" s="51" t="s">
        <v>153</v>
      </c>
      <c r="B34" s="46">
        <v>71</v>
      </c>
      <c r="C34" s="46">
        <v>71</v>
      </c>
      <c r="D34" s="46">
        <v>63</v>
      </c>
      <c r="E34" s="33">
        <v>67.400000000000006</v>
      </c>
      <c r="F34" s="34" t="s">
        <v>126</v>
      </c>
      <c r="G34" s="47">
        <v>1.8491</v>
      </c>
      <c r="H34" s="35">
        <v>45870</v>
      </c>
      <c r="I34" s="48" t="s">
        <v>97</v>
      </c>
      <c r="J34" s="48" t="s">
        <v>96</v>
      </c>
      <c r="K34" s="48"/>
      <c r="L34" s="48" t="s">
        <v>91</v>
      </c>
      <c r="M34" s="50"/>
      <c r="N34" s="48" t="s">
        <v>91</v>
      </c>
      <c r="O34" s="48"/>
      <c r="P34" s="48" t="s">
        <v>94</v>
      </c>
      <c r="Q34" s="48" t="s">
        <v>91</v>
      </c>
      <c r="R34" s="48"/>
      <c r="S34" s="48" t="s">
        <v>91</v>
      </c>
      <c r="T34" s="48" t="s">
        <v>95</v>
      </c>
      <c r="U34" s="48"/>
      <c r="V34" s="38" t="s">
        <v>90</v>
      </c>
      <c r="W34" s="38" t="s">
        <v>113</v>
      </c>
      <c r="X34" s="38" t="s">
        <v>91</v>
      </c>
      <c r="Y34" s="48"/>
      <c r="Z34" s="44">
        <v>2</v>
      </c>
      <c r="AA34" s="38">
        <v>3</v>
      </c>
      <c r="AB34" s="38">
        <v>3</v>
      </c>
      <c r="AC34" s="38">
        <v>2</v>
      </c>
      <c r="AD34" s="38">
        <v>2</v>
      </c>
      <c r="AE34" s="38">
        <v>3</v>
      </c>
      <c r="AF34" s="38">
        <v>2</v>
      </c>
      <c r="AG34" s="38">
        <v>2</v>
      </c>
      <c r="AH34" s="38">
        <v>2</v>
      </c>
      <c r="AI34" s="38">
        <v>2</v>
      </c>
      <c r="AJ34" s="38">
        <v>2</v>
      </c>
      <c r="AK34" s="45">
        <v>3</v>
      </c>
      <c r="AL34" s="44">
        <v>3</v>
      </c>
      <c r="AM34" s="38">
        <v>3</v>
      </c>
      <c r="AN34" s="38">
        <v>3</v>
      </c>
      <c r="AO34" s="38">
        <v>2</v>
      </c>
      <c r="AP34" s="38">
        <v>3</v>
      </c>
      <c r="AQ34" s="38">
        <v>2</v>
      </c>
      <c r="AR34" s="38">
        <v>1</v>
      </c>
      <c r="AS34" s="38">
        <v>2</v>
      </c>
      <c r="AT34" s="38">
        <v>3</v>
      </c>
      <c r="AU34" s="38">
        <v>2</v>
      </c>
      <c r="AV34" s="38">
        <v>2</v>
      </c>
      <c r="AW34" s="45">
        <v>2</v>
      </c>
      <c r="AX34" s="44">
        <v>2</v>
      </c>
      <c r="AY34" s="38">
        <v>1</v>
      </c>
      <c r="AZ34" s="38">
        <v>1</v>
      </c>
      <c r="BA34" s="38">
        <v>2</v>
      </c>
      <c r="BB34" s="38">
        <v>4</v>
      </c>
      <c r="BC34" s="38">
        <v>1</v>
      </c>
      <c r="BD34" s="38">
        <v>2</v>
      </c>
      <c r="BE34" s="45">
        <v>1</v>
      </c>
      <c r="BF34" s="44">
        <v>1</v>
      </c>
      <c r="BG34" s="38">
        <v>1</v>
      </c>
      <c r="BH34" s="38">
        <v>2</v>
      </c>
      <c r="BI34" s="38">
        <v>1</v>
      </c>
      <c r="BJ34" s="38">
        <v>1</v>
      </c>
      <c r="BK34" s="38">
        <v>1</v>
      </c>
      <c r="BL34" s="38">
        <v>2</v>
      </c>
      <c r="BM34" s="45">
        <v>2</v>
      </c>
      <c r="BN34" s="44">
        <v>2</v>
      </c>
      <c r="BO34" s="38">
        <v>2</v>
      </c>
      <c r="BP34" s="38">
        <v>2</v>
      </c>
      <c r="BQ34" s="38">
        <v>2</v>
      </c>
      <c r="BR34" s="38">
        <v>2</v>
      </c>
      <c r="BS34" s="38">
        <v>2</v>
      </c>
      <c r="BT34" s="38">
        <v>2</v>
      </c>
      <c r="BU34" s="45">
        <v>2</v>
      </c>
      <c r="BV34" s="44">
        <v>2</v>
      </c>
      <c r="BW34" s="38">
        <v>2</v>
      </c>
      <c r="BX34" s="38">
        <v>1</v>
      </c>
      <c r="BY34" s="38">
        <v>1</v>
      </c>
      <c r="BZ34" s="45">
        <v>4</v>
      </c>
      <c r="CA34" s="44">
        <v>3</v>
      </c>
      <c r="CB34" s="38">
        <v>3</v>
      </c>
      <c r="CC34" s="38">
        <v>4</v>
      </c>
      <c r="CD34" s="38">
        <v>2</v>
      </c>
      <c r="CE34" s="45">
        <v>2</v>
      </c>
      <c r="CF34" s="44">
        <v>2</v>
      </c>
      <c r="CG34" s="38">
        <v>2</v>
      </c>
      <c r="CH34" s="38">
        <v>3</v>
      </c>
      <c r="CI34" s="38">
        <v>3</v>
      </c>
      <c r="CJ34" s="45">
        <v>2</v>
      </c>
      <c r="CK34" s="40">
        <v>2</v>
      </c>
      <c r="CL34" s="36">
        <v>2</v>
      </c>
      <c r="CM34" s="36">
        <v>1</v>
      </c>
      <c r="CN34" s="36">
        <v>1</v>
      </c>
      <c r="CO34" s="41">
        <v>2</v>
      </c>
      <c r="CP34" s="40">
        <v>2</v>
      </c>
      <c r="CQ34" s="36">
        <v>3</v>
      </c>
      <c r="CR34" s="36">
        <v>3</v>
      </c>
      <c r="CS34" s="36">
        <v>3</v>
      </c>
      <c r="CT34" s="41">
        <v>2</v>
      </c>
    </row>
    <row r="35" spans="1:98" ht="15" x14ac:dyDescent="0.25">
      <c r="A35" s="51" t="s">
        <v>154</v>
      </c>
      <c r="B35" s="46">
        <v>70</v>
      </c>
      <c r="C35" s="46">
        <v>63</v>
      </c>
      <c r="D35" s="46">
        <v>57</v>
      </c>
      <c r="E35" s="33">
        <v>62.05</v>
      </c>
      <c r="F35" s="34" t="s">
        <v>126</v>
      </c>
      <c r="G35" s="34">
        <v>2.1257000000000001</v>
      </c>
      <c r="H35" s="35">
        <v>45870</v>
      </c>
      <c r="I35" s="48" t="s">
        <v>97</v>
      </c>
      <c r="J35" s="50" t="s">
        <v>96</v>
      </c>
      <c r="K35" s="48"/>
      <c r="L35" s="50" t="s">
        <v>91</v>
      </c>
      <c r="M35" s="50"/>
      <c r="N35" s="48" t="s">
        <v>91</v>
      </c>
      <c r="O35" s="48"/>
      <c r="P35" s="48" t="s">
        <v>94</v>
      </c>
      <c r="Q35" s="48" t="s">
        <v>91</v>
      </c>
      <c r="R35" s="48"/>
      <c r="S35" s="48" t="s">
        <v>91</v>
      </c>
      <c r="T35" s="50" t="s">
        <v>95</v>
      </c>
      <c r="U35" s="48"/>
      <c r="V35" s="38" t="s">
        <v>90</v>
      </c>
      <c r="W35" s="36" t="s">
        <v>104</v>
      </c>
      <c r="X35" s="83" t="s">
        <v>91</v>
      </c>
      <c r="Y35" s="48"/>
      <c r="Z35" s="40">
        <v>3</v>
      </c>
      <c r="AA35" s="36">
        <v>3</v>
      </c>
      <c r="AB35" s="36">
        <v>3</v>
      </c>
      <c r="AC35" s="36">
        <v>2</v>
      </c>
      <c r="AD35" s="36">
        <v>2</v>
      </c>
      <c r="AE35" s="36">
        <v>2</v>
      </c>
      <c r="AF35" s="36">
        <v>2</v>
      </c>
      <c r="AG35" s="36">
        <v>2</v>
      </c>
      <c r="AH35" s="36">
        <v>2</v>
      </c>
      <c r="AI35" s="36">
        <v>2</v>
      </c>
      <c r="AJ35" s="36">
        <v>2</v>
      </c>
      <c r="AK35" s="41">
        <v>3</v>
      </c>
      <c r="AL35" s="40">
        <v>2</v>
      </c>
      <c r="AM35" s="36">
        <v>2</v>
      </c>
      <c r="AN35" s="38">
        <v>2</v>
      </c>
      <c r="AO35" s="38">
        <v>2</v>
      </c>
      <c r="AP35" s="38">
        <v>2</v>
      </c>
      <c r="AQ35" s="38">
        <v>2</v>
      </c>
      <c r="AR35" s="38">
        <v>2</v>
      </c>
      <c r="AS35" s="38">
        <v>2</v>
      </c>
      <c r="AT35" s="38">
        <v>3</v>
      </c>
      <c r="AU35" s="38">
        <v>2</v>
      </c>
      <c r="AV35" s="38">
        <v>2</v>
      </c>
      <c r="AW35" s="45">
        <v>3</v>
      </c>
      <c r="AX35" s="44">
        <v>4</v>
      </c>
      <c r="AY35" s="38">
        <v>1</v>
      </c>
      <c r="AZ35" s="38">
        <v>1</v>
      </c>
      <c r="BA35" s="38">
        <v>3</v>
      </c>
      <c r="BB35" s="38">
        <v>2</v>
      </c>
      <c r="BC35" s="36">
        <v>1</v>
      </c>
      <c r="BD35" s="36">
        <v>2</v>
      </c>
      <c r="BE35" s="41">
        <v>1</v>
      </c>
      <c r="BF35" s="40">
        <v>1</v>
      </c>
      <c r="BG35" s="36">
        <v>1</v>
      </c>
      <c r="BH35" s="36">
        <v>2</v>
      </c>
      <c r="BI35" s="36">
        <v>2</v>
      </c>
      <c r="BJ35" s="36">
        <v>1</v>
      </c>
      <c r="BK35" s="36">
        <v>1</v>
      </c>
      <c r="BL35" s="36">
        <v>4</v>
      </c>
      <c r="BM35" s="41">
        <v>2</v>
      </c>
      <c r="BN35" s="40">
        <v>2</v>
      </c>
      <c r="BO35" s="38">
        <v>2</v>
      </c>
      <c r="BP35" s="38">
        <v>2</v>
      </c>
      <c r="BQ35" s="38">
        <v>1</v>
      </c>
      <c r="BR35" s="38">
        <v>3</v>
      </c>
      <c r="BS35" s="38">
        <v>2</v>
      </c>
      <c r="BT35" s="38">
        <v>1</v>
      </c>
      <c r="BU35" s="45">
        <v>3</v>
      </c>
      <c r="BV35" s="44">
        <v>1</v>
      </c>
      <c r="BW35" s="38">
        <v>1</v>
      </c>
      <c r="BX35" s="38">
        <v>1</v>
      </c>
      <c r="BY35" s="38">
        <v>1</v>
      </c>
      <c r="BZ35" s="45">
        <v>1</v>
      </c>
      <c r="CA35" s="44">
        <v>2</v>
      </c>
      <c r="CB35" s="38">
        <v>2</v>
      </c>
      <c r="CC35" s="38">
        <v>3</v>
      </c>
      <c r="CD35" s="38">
        <v>1</v>
      </c>
      <c r="CE35" s="45">
        <v>3</v>
      </c>
      <c r="CF35" s="44">
        <v>1</v>
      </c>
      <c r="CG35" s="38">
        <v>2</v>
      </c>
      <c r="CH35" s="38">
        <v>3</v>
      </c>
      <c r="CI35" s="38">
        <v>2</v>
      </c>
      <c r="CJ35" s="45">
        <v>3</v>
      </c>
      <c r="CK35" s="44">
        <v>1</v>
      </c>
      <c r="CL35" s="38">
        <v>3</v>
      </c>
      <c r="CM35" s="38">
        <v>1</v>
      </c>
      <c r="CN35" s="38">
        <v>2</v>
      </c>
      <c r="CO35" s="45">
        <v>3</v>
      </c>
      <c r="CP35" s="44">
        <v>3</v>
      </c>
      <c r="CQ35" s="38">
        <v>3</v>
      </c>
      <c r="CR35" s="38">
        <v>2</v>
      </c>
      <c r="CS35" s="38">
        <v>2</v>
      </c>
      <c r="CT35" s="45">
        <v>2</v>
      </c>
    </row>
    <row r="36" spans="1:98" ht="12.75" x14ac:dyDescent="0.2">
      <c r="A36" s="68" t="s">
        <v>159</v>
      </c>
      <c r="B36" s="33">
        <v>53</v>
      </c>
      <c r="C36" s="33">
        <v>63</v>
      </c>
      <c r="D36" s="33">
        <v>56</v>
      </c>
      <c r="E36" s="33">
        <v>57.35</v>
      </c>
      <c r="F36" s="34" t="s">
        <v>126</v>
      </c>
      <c r="G36" s="34">
        <v>2.0099999999999998</v>
      </c>
      <c r="H36" s="35">
        <v>45870</v>
      </c>
      <c r="I36" s="38" t="s">
        <v>97</v>
      </c>
      <c r="J36" s="50" t="s">
        <v>90</v>
      </c>
      <c r="K36" s="50" t="s">
        <v>108</v>
      </c>
      <c r="L36" s="48" t="s">
        <v>90</v>
      </c>
      <c r="M36" s="48" t="s">
        <v>164</v>
      </c>
      <c r="N36" s="50" t="s">
        <v>90</v>
      </c>
      <c r="O36" s="48" t="s">
        <v>107</v>
      </c>
      <c r="P36" s="50" t="s">
        <v>99</v>
      </c>
      <c r="Q36" s="48" t="s">
        <v>91</v>
      </c>
      <c r="R36" s="48"/>
      <c r="S36" s="50" t="s">
        <v>90</v>
      </c>
      <c r="T36" s="48" t="s">
        <v>119</v>
      </c>
      <c r="U36" s="36" t="s">
        <v>115</v>
      </c>
      <c r="V36" s="38" t="s">
        <v>90</v>
      </c>
      <c r="W36" s="36" t="s">
        <v>166</v>
      </c>
      <c r="X36" s="38" t="s">
        <v>90</v>
      </c>
      <c r="Y36" s="43" t="s">
        <v>165</v>
      </c>
      <c r="Z36" s="58">
        <v>3</v>
      </c>
      <c r="AA36" s="48">
        <v>3</v>
      </c>
      <c r="AB36" s="48">
        <v>3</v>
      </c>
      <c r="AC36" s="48">
        <v>3</v>
      </c>
      <c r="AD36" s="48">
        <v>3</v>
      </c>
      <c r="AE36" s="48">
        <v>3</v>
      </c>
      <c r="AF36" s="48">
        <v>3</v>
      </c>
      <c r="AG36" s="48">
        <v>2</v>
      </c>
      <c r="AH36" s="48">
        <v>3</v>
      </c>
      <c r="AI36" s="48">
        <v>3</v>
      </c>
      <c r="AJ36" s="48">
        <v>3</v>
      </c>
      <c r="AK36" s="59">
        <v>3</v>
      </c>
      <c r="AL36" s="58">
        <v>3</v>
      </c>
      <c r="AM36" s="48">
        <v>4</v>
      </c>
      <c r="AN36" s="48">
        <v>3</v>
      </c>
      <c r="AO36" s="48">
        <v>3</v>
      </c>
      <c r="AP36" s="48">
        <v>3</v>
      </c>
      <c r="AQ36" s="48">
        <v>3</v>
      </c>
      <c r="AR36" s="48">
        <v>2</v>
      </c>
      <c r="AS36" s="48">
        <v>2</v>
      </c>
      <c r="AT36" s="48">
        <v>3</v>
      </c>
      <c r="AU36" s="48">
        <v>2</v>
      </c>
      <c r="AV36" s="48">
        <v>2</v>
      </c>
      <c r="AW36" s="59">
        <v>2</v>
      </c>
      <c r="AX36" s="58">
        <v>2</v>
      </c>
      <c r="AY36" s="48">
        <v>2</v>
      </c>
      <c r="AZ36" s="48">
        <v>2</v>
      </c>
      <c r="BA36" s="48">
        <v>2</v>
      </c>
      <c r="BB36" s="48">
        <v>3</v>
      </c>
      <c r="BC36" s="48">
        <v>3</v>
      </c>
      <c r="BD36" s="48">
        <v>3</v>
      </c>
      <c r="BE36" s="59">
        <v>2</v>
      </c>
      <c r="BF36" s="58">
        <v>2</v>
      </c>
      <c r="BG36" s="48">
        <v>3</v>
      </c>
      <c r="BH36" s="48">
        <v>2</v>
      </c>
      <c r="BI36" s="48">
        <v>3</v>
      </c>
      <c r="BJ36" s="48">
        <v>2</v>
      </c>
      <c r="BK36" s="48">
        <v>3</v>
      </c>
      <c r="BL36" s="48">
        <v>2</v>
      </c>
      <c r="BM36" s="59">
        <v>3</v>
      </c>
      <c r="BN36" s="58">
        <v>2</v>
      </c>
      <c r="BO36" s="48">
        <v>2</v>
      </c>
      <c r="BP36" s="48">
        <v>2</v>
      </c>
      <c r="BQ36" s="48">
        <v>2</v>
      </c>
      <c r="BR36" s="48">
        <v>2</v>
      </c>
      <c r="BS36" s="48">
        <v>3</v>
      </c>
      <c r="BT36" s="48">
        <v>2</v>
      </c>
      <c r="BU36" s="59">
        <v>2</v>
      </c>
      <c r="BV36" s="58">
        <v>2</v>
      </c>
      <c r="BW36" s="48">
        <v>2</v>
      </c>
      <c r="BX36" s="48">
        <v>2</v>
      </c>
      <c r="BY36" s="48">
        <v>2</v>
      </c>
      <c r="BZ36" s="59">
        <v>2</v>
      </c>
      <c r="CA36" s="58">
        <v>2</v>
      </c>
      <c r="CB36" s="48">
        <v>2</v>
      </c>
      <c r="CC36" s="48">
        <v>2</v>
      </c>
      <c r="CD36" s="48">
        <v>2</v>
      </c>
      <c r="CE36" s="59">
        <v>2</v>
      </c>
      <c r="CF36" s="58">
        <v>2</v>
      </c>
      <c r="CG36" s="48">
        <v>2</v>
      </c>
      <c r="CH36" s="48">
        <v>2</v>
      </c>
      <c r="CI36" s="48">
        <v>2</v>
      </c>
      <c r="CJ36" s="59">
        <v>2</v>
      </c>
      <c r="CK36" s="58">
        <v>2</v>
      </c>
      <c r="CL36" s="48">
        <v>2</v>
      </c>
      <c r="CM36" s="48">
        <v>2</v>
      </c>
      <c r="CN36" s="48">
        <v>2</v>
      </c>
      <c r="CO36" s="59">
        <v>2</v>
      </c>
      <c r="CP36" s="58">
        <v>2</v>
      </c>
      <c r="CQ36" s="48">
        <v>2</v>
      </c>
      <c r="CR36" s="48">
        <v>2</v>
      </c>
      <c r="CS36" s="48">
        <v>2</v>
      </c>
      <c r="CT36" s="59">
        <v>2</v>
      </c>
    </row>
    <row r="37" spans="1:98" ht="15" x14ac:dyDescent="0.25">
      <c r="A37" s="82" t="s">
        <v>158</v>
      </c>
      <c r="B37" s="46">
        <v>39</v>
      </c>
      <c r="C37" s="46">
        <v>53</v>
      </c>
      <c r="D37" s="46">
        <v>42</v>
      </c>
      <c r="E37" s="33">
        <v>44.55</v>
      </c>
      <c r="F37" s="34" t="s">
        <v>126</v>
      </c>
      <c r="G37" s="34">
        <v>2.3125</v>
      </c>
      <c r="H37" s="35">
        <v>45870</v>
      </c>
      <c r="I37" s="38" t="s">
        <v>97</v>
      </c>
      <c r="J37" s="50" t="s">
        <v>90</v>
      </c>
      <c r="K37" s="50" t="s">
        <v>108</v>
      </c>
      <c r="L37" s="48" t="s">
        <v>91</v>
      </c>
      <c r="M37" s="50"/>
      <c r="N37" s="50" t="s">
        <v>90</v>
      </c>
      <c r="O37" s="50" t="s">
        <v>167</v>
      </c>
      <c r="P37" s="48" t="s">
        <v>94</v>
      </c>
      <c r="Q37" s="48" t="s">
        <v>91</v>
      </c>
      <c r="R37" s="48"/>
      <c r="S37" s="50" t="s">
        <v>90</v>
      </c>
      <c r="T37" s="48" t="s">
        <v>119</v>
      </c>
      <c r="U37" s="36" t="s">
        <v>115</v>
      </c>
      <c r="V37" s="38" t="s">
        <v>90</v>
      </c>
      <c r="W37" s="38" t="s">
        <v>175</v>
      </c>
      <c r="X37" s="38" t="s">
        <v>90</v>
      </c>
      <c r="Y37" s="48" t="s">
        <v>163</v>
      </c>
      <c r="Z37" s="58">
        <v>3</v>
      </c>
      <c r="AA37" s="48">
        <v>3</v>
      </c>
      <c r="AB37" s="48">
        <v>3</v>
      </c>
      <c r="AC37" s="48">
        <v>3</v>
      </c>
      <c r="AD37" s="48">
        <v>3</v>
      </c>
      <c r="AE37" s="48">
        <v>3</v>
      </c>
      <c r="AF37" s="48">
        <v>3</v>
      </c>
      <c r="AG37" s="48">
        <v>2</v>
      </c>
      <c r="AH37" s="48">
        <v>3</v>
      </c>
      <c r="AI37" s="48">
        <v>3</v>
      </c>
      <c r="AJ37" s="48">
        <v>2</v>
      </c>
      <c r="AK37" s="59">
        <v>3</v>
      </c>
      <c r="AL37" s="58">
        <v>3</v>
      </c>
      <c r="AM37" s="48">
        <v>3</v>
      </c>
      <c r="AN37" s="48">
        <v>2</v>
      </c>
      <c r="AO37" s="48">
        <v>3</v>
      </c>
      <c r="AP37" s="48">
        <v>2</v>
      </c>
      <c r="AQ37" s="48">
        <v>3</v>
      </c>
      <c r="AR37" s="48">
        <v>2</v>
      </c>
      <c r="AS37" s="48">
        <v>2</v>
      </c>
      <c r="AT37" s="48">
        <v>3</v>
      </c>
      <c r="AU37" s="48">
        <v>2</v>
      </c>
      <c r="AV37" s="48">
        <v>2</v>
      </c>
      <c r="AW37" s="59">
        <v>2</v>
      </c>
      <c r="AX37" s="58">
        <v>2</v>
      </c>
      <c r="AY37" s="48">
        <v>2</v>
      </c>
      <c r="AZ37" s="48">
        <v>2</v>
      </c>
      <c r="BA37" s="48">
        <v>2</v>
      </c>
      <c r="BB37" s="48">
        <v>3</v>
      </c>
      <c r="BC37" s="48">
        <v>3</v>
      </c>
      <c r="BD37" s="48">
        <v>3</v>
      </c>
      <c r="BE37" s="59">
        <v>2</v>
      </c>
      <c r="BF37" s="58">
        <v>2</v>
      </c>
      <c r="BG37" s="48">
        <v>3</v>
      </c>
      <c r="BH37" s="48">
        <v>2</v>
      </c>
      <c r="BI37" s="48">
        <v>3</v>
      </c>
      <c r="BJ37" s="48">
        <v>2</v>
      </c>
      <c r="BK37" s="48">
        <v>3</v>
      </c>
      <c r="BL37" s="48">
        <v>2</v>
      </c>
      <c r="BM37" s="59">
        <v>3</v>
      </c>
      <c r="BN37" s="58">
        <v>3</v>
      </c>
      <c r="BO37" s="48">
        <v>2</v>
      </c>
      <c r="BP37" s="48">
        <v>2</v>
      </c>
      <c r="BQ37" s="48">
        <v>1</v>
      </c>
      <c r="BR37" s="48">
        <v>2</v>
      </c>
      <c r="BS37" s="48">
        <v>3</v>
      </c>
      <c r="BT37" s="48">
        <v>2</v>
      </c>
      <c r="BU37" s="59">
        <v>2</v>
      </c>
      <c r="BV37" s="58">
        <v>2</v>
      </c>
      <c r="BW37" s="48">
        <v>2</v>
      </c>
      <c r="BX37" s="48">
        <v>2</v>
      </c>
      <c r="BY37" s="48">
        <v>2</v>
      </c>
      <c r="BZ37" s="59">
        <v>2</v>
      </c>
      <c r="CA37" s="58">
        <v>3</v>
      </c>
      <c r="CB37" s="48">
        <v>2</v>
      </c>
      <c r="CC37" s="48">
        <v>2</v>
      </c>
      <c r="CD37" s="48">
        <v>2</v>
      </c>
      <c r="CE37" s="59">
        <v>2</v>
      </c>
      <c r="CF37" s="58">
        <v>2</v>
      </c>
      <c r="CG37" s="48">
        <v>2</v>
      </c>
      <c r="CH37" s="48">
        <v>3</v>
      </c>
      <c r="CI37" s="48">
        <v>2</v>
      </c>
      <c r="CJ37" s="59">
        <v>2</v>
      </c>
      <c r="CK37" s="58">
        <v>2</v>
      </c>
      <c r="CL37" s="48">
        <v>2</v>
      </c>
      <c r="CM37" s="48">
        <v>2</v>
      </c>
      <c r="CN37" s="48">
        <v>2</v>
      </c>
      <c r="CO37" s="59">
        <v>2</v>
      </c>
      <c r="CP37" s="58">
        <v>2</v>
      </c>
      <c r="CQ37" s="48">
        <v>2</v>
      </c>
      <c r="CR37" s="48">
        <v>2</v>
      </c>
      <c r="CS37" s="48">
        <v>2</v>
      </c>
      <c r="CT37" s="59">
        <v>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2026-04-01T11:55:41Z</dcterms:modified>
</cp:coreProperties>
</file>