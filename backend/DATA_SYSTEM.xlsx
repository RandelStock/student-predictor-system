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backend\"/>
    </mc:Choice>
  </mc:AlternateContent>
  <xr:revisionPtr revIDLastSave="0" documentId="13_ncr:1_{EFC874D0-E5EE-4372-82CE-1C1CA4330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-2025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6" i="16" l="1"/>
  <c r="F245" i="16"/>
  <c r="F244" i="16"/>
  <c r="F243" i="16"/>
  <c r="F242" i="16"/>
  <c r="F241" i="16"/>
  <c r="F240" i="16"/>
  <c r="F239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0" i="16"/>
  <c r="F149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</calcChain>
</file>

<file path=xl/sharedStrings.xml><?xml version="1.0" encoding="utf-8"?>
<sst xmlns="http://schemas.openxmlformats.org/spreadsheetml/2006/main" count="346" uniqueCount="257">
  <si>
    <t>Pitalco, Carl Joshua</t>
  </si>
  <si>
    <t>NAMES</t>
  </si>
  <si>
    <t>TOTAL RATING</t>
  </si>
  <si>
    <t>PASSED / FAILED-RETAKE</t>
  </si>
  <si>
    <t>Abastillas, Roger Morales</t>
  </si>
  <si>
    <t>Almiranez, Marjorie Dela Pena</t>
  </si>
  <si>
    <t>Ansay, Cadmiel jaxter Alcoreza</t>
  </si>
  <si>
    <t>Atendido, Jhon Rez Gloria</t>
  </si>
  <si>
    <t xml:space="preserve">Barba, Rowen Cahayon </t>
  </si>
  <si>
    <t>Cantal, Nicole Ardona</t>
  </si>
  <si>
    <t>Capina, Dhale Andrew Melo</t>
  </si>
  <si>
    <t>Cordero, Kiara Natasha Bermendi</t>
  </si>
  <si>
    <t>Celeste, Christian Roy Gonzales</t>
  </si>
  <si>
    <t>Corres, Aira Joyce Sidro</t>
  </si>
  <si>
    <t>Dela Cruz, Justine Kate Villaflores</t>
  </si>
  <si>
    <t>Esguerra, Jhondel Erola</t>
  </si>
  <si>
    <t>Cosico, Jemima Articona</t>
  </si>
  <si>
    <t>Fernandez, Jerald Duma</t>
  </si>
  <si>
    <t>Dayo, Stepehen Ruz</t>
  </si>
  <si>
    <t>Gagasa, Sherry Ann Villareal</t>
  </si>
  <si>
    <t>De Pasion, Ruiz Collube</t>
  </si>
  <si>
    <t>Glifonea, Ronald Adrian Almario</t>
  </si>
  <si>
    <t>Gueverra, Gilbert Niala</t>
  </si>
  <si>
    <t>Diaz, Jeff Rodriguez</t>
  </si>
  <si>
    <t>Jacob, Romark Ramos</t>
  </si>
  <si>
    <t>Dimaculangan, John Carlo Lat</t>
  </si>
  <si>
    <t>Lamsen, Romela Rellamas</t>
  </si>
  <si>
    <t>Lavarro, Veronica Jadde Baasis</t>
  </si>
  <si>
    <t>Espena, Ronald Cataga</t>
  </si>
  <si>
    <t>Liwag, Angelica Joy Cosepe</t>
  </si>
  <si>
    <t>Evero, Philippe Edward Virtudazo</t>
  </si>
  <si>
    <t>Lustado, Albert Portes</t>
  </si>
  <si>
    <t xml:space="preserve">Madrigallos, Roi Quinto </t>
  </si>
  <si>
    <t>Malihan, Kristalee irish Soriano</t>
  </si>
  <si>
    <t>Manaog, Rommel Almeyda</t>
  </si>
  <si>
    <t>Moog, Kyle Aldrich Ipunla</t>
  </si>
  <si>
    <t>Orno, Arvin Brian Abulencia</t>
  </si>
  <si>
    <t>Javin, Arrence Edrad</t>
  </si>
  <si>
    <t>Palmaria, Rodolfo JR Perlada</t>
  </si>
  <si>
    <t>Jusay, Jennica Kriziel Leguro</t>
  </si>
  <si>
    <t>Quevedo, Remiqoh Seno</t>
  </si>
  <si>
    <t>Lagdameo, Jonas Christian Balmeo</t>
  </si>
  <si>
    <t>Remolona, Jessa Katrina Magnaye</t>
  </si>
  <si>
    <t>Rondola, Jeremi Ardales</t>
  </si>
  <si>
    <t>Rubio, Eldrich Florante</t>
  </si>
  <si>
    <t>San Buenaventura, Girlie Iglesia</t>
  </si>
  <si>
    <t>Sanchez, Victor Paolo Lustado</t>
  </si>
  <si>
    <t>Sevilla, Renz Vincent Navela</t>
  </si>
  <si>
    <t>Sioco, Irah Jane Castro</t>
  </si>
  <si>
    <t>Sore, Kenneth Novelo</t>
  </si>
  <si>
    <t>Suria, Airuz Rainier Custodio</t>
  </si>
  <si>
    <t>Nido, Raymond Dominic Castro</t>
  </si>
  <si>
    <t>Tatoy, Kruizzer Dandryxxx Zyrlo</t>
  </si>
  <si>
    <t>Olarte, Victor III Tellor</t>
  </si>
  <si>
    <t>Tresvalles, Aleix Ann Cabanas</t>
  </si>
  <si>
    <t>Villasenor, Ian Diasanta</t>
  </si>
  <si>
    <t>Penamente, Jesie Jr Malubay</t>
  </si>
  <si>
    <t>Ramos, Jan Calix pena</t>
  </si>
  <si>
    <t>Rejano, John Philip Colen Rosas</t>
  </si>
  <si>
    <t>Sarthou, Renette Krizia Caagbay</t>
  </si>
  <si>
    <t>Sulit, Alberto II Perjes</t>
  </si>
  <si>
    <t>Untalan, Mark Kenneth Calucin</t>
  </si>
  <si>
    <t>Villa, Christopher John Ladera</t>
  </si>
  <si>
    <t>Tolentino, Joshua Aaron Danez</t>
  </si>
  <si>
    <t>Abadilla, Joseph Lubrica</t>
  </si>
  <si>
    <t>Abanes, Christopher Mallari</t>
  </si>
  <si>
    <t>Alpay, Aemond Jepsey Rea</t>
  </si>
  <si>
    <t>Adan, Gerome James fatagani</t>
  </si>
  <si>
    <t>Angeles, Lloyd Allen Marbella</t>
  </si>
  <si>
    <t>Buenafrancisca, Jericho Arandia</t>
  </si>
  <si>
    <t>Cabarrubias, Jonard Torres</t>
  </si>
  <si>
    <t>Aumentado, Pia Supremo</t>
  </si>
  <si>
    <t>De Villa, Ronald Ryan Ander</t>
  </si>
  <si>
    <t>Benedicto, Chiara Ebalan</t>
  </si>
  <si>
    <t>Dimalaluan, Warren Pana</t>
  </si>
  <si>
    <t>Duenas, Lindley Joyce Salazar</t>
  </si>
  <si>
    <t>Garcia Marjun Fermis</t>
  </si>
  <si>
    <t>Cantara John Christian Yongco</t>
  </si>
  <si>
    <t xml:space="preserve">Hababag, Geselle Silva </t>
  </si>
  <si>
    <t>Morillo, Kevin Maniebo</t>
  </si>
  <si>
    <t>Pintor, Dennise Aumentado</t>
  </si>
  <si>
    <t>Rodillas, Mark Jervin Flores</t>
  </si>
  <si>
    <t>Elumba, Gerry Tradio</t>
  </si>
  <si>
    <t>Serrano, Alec Josef Castro</t>
  </si>
  <si>
    <t>Faraon, Lloyd Mico Derecho</t>
  </si>
  <si>
    <t xml:space="preserve">Sulit, Alberto III Perjes </t>
  </si>
  <si>
    <t>Gurango, Alfie</t>
  </si>
  <si>
    <t xml:space="preserve">Herrera, Wilmar Carabot </t>
  </si>
  <si>
    <t>Jaen, Kirk Joshua Mascarina</t>
  </si>
  <si>
    <t>Mendoza, Jayvee Gonzales</t>
  </si>
  <si>
    <t>Mercurio, Ricky Jay Zornosa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</si>
  <si>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</si>
  <si>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</si>
  <si>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</si>
  <si>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</si>
  <si>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</si>
  <si>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</si>
  <si>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</si>
  <si>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</si>
  <si>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</si>
  <si>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</si>
  <si>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Valle, Jansen Ardrich Aurin</t>
  </si>
  <si>
    <t>Valle, John Rich Aurin</t>
  </si>
  <si>
    <t>Villanueva, Charisse Monfero</t>
  </si>
  <si>
    <t>Villanueva, Ronnel Christian De Alba</t>
  </si>
  <si>
    <t>Villarino, Jackie Albitos</t>
  </si>
  <si>
    <t>Resplandor, Roel Merana</t>
  </si>
  <si>
    <t>Abuy, Roy Amiel Abuyan</t>
  </si>
  <si>
    <t>Aldea, Jennylyn Javier</t>
  </si>
  <si>
    <t>Alvarez, Jhon Harmond Gaufo</t>
  </si>
  <si>
    <t>Alvarez, Oliver Soriano</t>
  </si>
  <si>
    <t>Amper, Christine Angeli Navarro</t>
  </si>
  <si>
    <t>Antonio, Charice Abuyan</t>
  </si>
  <si>
    <t xml:space="preserve">Arcera, Mark Dennis Musico </t>
  </si>
  <si>
    <t>Atendido, Marco Simpron</t>
  </si>
  <si>
    <t>Cabrera, Joyce Permejo</t>
  </si>
  <si>
    <t>Baris, Nazer Mangirapin</t>
  </si>
  <si>
    <t>Caminero, Reginald Lopez</t>
  </si>
  <si>
    <t>Bleza, Jovimil Melag</t>
  </si>
  <si>
    <t>Canzana, Ellysa Luna</t>
  </si>
  <si>
    <t>Caparas, Alyanna Mari FLavier</t>
  </si>
  <si>
    <t>Calupig, Jon Bennet Rotagenes</t>
  </si>
  <si>
    <t>Chavez, Darlyn Baldazo</t>
  </si>
  <si>
    <t>Coronacion, Dave Lenard Romantico</t>
  </si>
  <si>
    <t>Cantos, Jushoa Decena</t>
  </si>
  <si>
    <t>Cerdo, Rex Astoveza</t>
  </si>
  <si>
    <t>Cueto, Mary Jayne Rioflorido</t>
  </si>
  <si>
    <t>Gabia, Christine Dapol</t>
  </si>
  <si>
    <t>Catapang, Gilbey Clard Red</t>
  </si>
  <si>
    <t>Guta, John Lloyd Nakar</t>
  </si>
  <si>
    <t xml:space="preserve">Handig, Kimberly Bibonia </t>
  </si>
  <si>
    <t xml:space="preserve">Maladaga, Kim Renz Nerval </t>
  </si>
  <si>
    <t>Manay, Harley Dars Portes</t>
  </si>
  <si>
    <t>Mendoza, Katrina Orfinada</t>
  </si>
  <si>
    <t>Curioso, Marvin Ricafort</t>
  </si>
  <si>
    <t>Marjilla, Arvin Pitero</t>
  </si>
  <si>
    <t>Dator, Emmanuel Josay Placino</t>
  </si>
  <si>
    <t>Napagal, Mark Angelo Muriel</t>
  </si>
  <si>
    <t>Dichoso, Joshua Peduca</t>
  </si>
  <si>
    <t>Niebres, cyrus Aque</t>
  </si>
  <si>
    <t>Niera, Ma Lorieelyn Escoto</t>
  </si>
  <si>
    <t xml:space="preserve">Padin, Arvy Ronel Terciano </t>
  </si>
  <si>
    <t>Par, Daniela Narito</t>
  </si>
  <si>
    <t>Losloso, Nina Alyssa paala</t>
  </si>
  <si>
    <t>Quirante, Audrey Melca Herrera</t>
  </si>
  <si>
    <t>Sumilang, Wilbert Valdepena</t>
  </si>
  <si>
    <t>Tanganim, Vince Carriaga</t>
  </si>
  <si>
    <t xml:space="preserve">Marasigan, Joilea Nina Hutalla </t>
  </si>
  <si>
    <t>Tesalona, Charl Justine Candelaria</t>
  </si>
  <si>
    <t>Tena, Mary Mae Penamora</t>
  </si>
  <si>
    <t>Tolentino, Ramil Joshua Pblepias</t>
  </si>
  <si>
    <t>Alan, Jay Van Ranuda</t>
  </si>
  <si>
    <t>Cosejo, Charlenne Mercado</t>
  </si>
  <si>
    <t>Maralit, Mariel Zafranco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</si>
  <si>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</si>
  <si>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</si>
  <si>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</si>
  <si>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</si>
  <si>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</si>
  <si>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</si>
  <si>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</si>
  <si>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Abustan, Randell Anoso</t>
  </si>
  <si>
    <t>Africa, Kim erick Uri</t>
  </si>
  <si>
    <t xml:space="preserve">Amat, Erika Aurin </t>
  </si>
  <si>
    <t>Ambas, Devee Libranda</t>
  </si>
  <si>
    <t>Anareta, Paul Andrei Parado</t>
  </si>
  <si>
    <t>Arceta, Ayecca Jean Heras</t>
  </si>
  <si>
    <t>Argosino, john Michael Fabricante</t>
  </si>
  <si>
    <t>Arceta, John Daryl Lavado</t>
  </si>
  <si>
    <t xml:space="preserve">Aril, Kevin Gonzales </t>
  </si>
  <si>
    <t>Atis, Video Cruzat</t>
  </si>
  <si>
    <t>Anonuevo, Jake Tisbe</t>
  </si>
  <si>
    <t>Barbacena, Mark De Guzman</t>
  </si>
  <si>
    <t>Bawica, ronaldo Jr Villasoto</t>
  </si>
  <si>
    <t>Belmil, John Elry Cosejo</t>
  </si>
  <si>
    <t>Bitoon, Omar John Paul Tanedo</t>
  </si>
  <si>
    <t>Blastique, Kathleen Bugtong</t>
  </si>
  <si>
    <t>Caballero, James Angelo Urquiola</t>
  </si>
  <si>
    <t>Cadelino, Kristine Karla Montenegro</t>
  </si>
  <si>
    <t>Carulla, Klint Cedrick Reazo</t>
  </si>
  <si>
    <t>Castillo, Buena Mae Quidor</t>
  </si>
  <si>
    <t>Catapang, Kobe Danton Vergara</t>
  </si>
  <si>
    <t>Coronado, Eric John Abella</t>
  </si>
  <si>
    <t>Crisanto, Alan Yvez Cabuyao</t>
  </si>
  <si>
    <t>Cruzat, Lloyd De Leon</t>
  </si>
  <si>
    <t xml:space="preserve">Dalisay, Adrian Panaligan </t>
  </si>
  <si>
    <t>Dator, Kevin Ratio</t>
  </si>
  <si>
    <t>Daya, Luigee De Alday</t>
  </si>
  <si>
    <t>Danes, Jefferson Palermo</t>
  </si>
  <si>
    <t>De Castro, Rovemell Espiritu</t>
  </si>
  <si>
    <t>De Guzman, John Del Bartolome</t>
  </si>
  <si>
    <t>De Las Alas, Javy Jose Oblea</t>
  </si>
  <si>
    <t xml:space="preserve">De ROsa, John lloyd Cabuyao 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</si>
  <si>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</si>
  <si>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</si>
  <si>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</si>
  <si>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</si>
  <si>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</si>
  <si>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</si>
  <si>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</si>
  <si>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Garcia, Ian Laydia</t>
  </si>
  <si>
    <t>Lope, Sheena Gabrielle Zafe</t>
  </si>
  <si>
    <t>Garica, Kristoffer Batac</t>
  </si>
  <si>
    <t>Loreto, Kimberly Aubrey Villate</t>
  </si>
  <si>
    <t>Lacsa, Judy Ann Licup</t>
  </si>
  <si>
    <t>Magsino, Trisha Mae Cardio</t>
  </si>
  <si>
    <t>Marquez, Angelo Michael Salva</t>
  </si>
  <si>
    <t xml:space="preserve">Mayuga, Jomel Abdon </t>
  </si>
  <si>
    <t>Nantes, Oscar Vincent timbre</t>
  </si>
  <si>
    <t>Obciana, Gemrhon Garcia</t>
  </si>
  <si>
    <t>Oblefias, John Michael Sales</t>
  </si>
  <si>
    <t>Ordillano ,Marcellus Marx Barnes</t>
  </si>
  <si>
    <t>Orig, John Emmanuel Tan</t>
  </si>
  <si>
    <t>Merana, Raymond Salloman</t>
  </si>
  <si>
    <t>Ostan, James Mearz Sales</t>
  </si>
  <si>
    <t>Palapag, Vincent Ryan Velasco</t>
  </si>
  <si>
    <t>Nieva, Xzergh Jan Maika Mendelebar</t>
  </si>
  <si>
    <t>Pasco, John Vincent Glory</t>
  </si>
  <si>
    <t>Penamante, Grace Libranda</t>
  </si>
  <si>
    <t>Penamante, Meg Aguilar</t>
  </si>
  <si>
    <t>Purio, John ANdrew Palad</t>
  </si>
  <si>
    <t>Ramos, Jade Panican</t>
  </si>
  <si>
    <t>Ramos, Raymund Raytana</t>
  </si>
  <si>
    <t>Raquel, Christopher Aycardo</t>
  </si>
  <si>
    <t>Raneses, Jea RIca Presas</t>
  </si>
  <si>
    <t>Rojas, emmanuel Avante</t>
  </si>
  <si>
    <t>Saliendra, Edcel John Gaytano</t>
  </si>
  <si>
    <t xml:space="preserve">Pilar, edmar Batugon </t>
  </si>
  <si>
    <t>Sandoval, Sheena Mae Ravina</t>
  </si>
  <si>
    <t>Silang, John Paul Egamino</t>
  </si>
  <si>
    <t>Torino, Beau Jade Valdez</t>
  </si>
  <si>
    <t>Tutor, Sheila Mae Durante</t>
  </si>
  <si>
    <t>Vasquez, Ronnel Mendoza</t>
  </si>
  <si>
    <t>Verzola, Braynne Kean Elloso</t>
  </si>
  <si>
    <t>Yanoria, Jay Michael Ruz</t>
  </si>
  <si>
    <t>Remo, Hannah Shane</t>
  </si>
  <si>
    <t xml:space="preserve">Rivera, Maria Maydilyn </t>
  </si>
  <si>
    <t>Seno, Christhon Cada</t>
  </si>
  <si>
    <t>Villapando, Melvin Lamar</t>
  </si>
  <si>
    <t>Abadilla, Vincentt Ferrer Valderamos</t>
  </si>
  <si>
    <t xml:space="preserve">Alcantara, Marylene </t>
  </si>
  <si>
    <t>Bautista, Gabriel Correa</t>
  </si>
  <si>
    <t>Fabie, Renzon Francia</t>
  </si>
  <si>
    <t>Cataytay, Hans Yuriz Obnillas</t>
  </si>
  <si>
    <t>Jugueta, Laurence Penamante</t>
  </si>
  <si>
    <t xml:space="preserve">Orinday, Joseph Reanzares </t>
  </si>
  <si>
    <t>Gabor mark Kendelle Cana</t>
  </si>
  <si>
    <t>Sabornido,Troy Padin</t>
  </si>
  <si>
    <t xml:space="preserve">Trinidad, Kurt Chovain </t>
  </si>
  <si>
    <t>Ramos, Danielle Torres</t>
  </si>
  <si>
    <t>Tena, Mark Sonny Ritual</t>
  </si>
  <si>
    <t>GWA</t>
  </si>
  <si>
    <t>EE</t>
  </si>
  <si>
    <t>MATH</t>
  </si>
  <si>
    <t>ESAS</t>
  </si>
  <si>
    <t>YEAR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</si>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</sst>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0" fontId="2" fillId="8" borderId="2" xfId="0" applyFont="1" applyFill="1" applyBorder="1" applyAlignment="1">
      <alignment horizontal="center"/>
    </xf>
    <xf numFmtId="0" fontId="1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3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42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201">
    <tableStyle name="SURVEY RESULT-style" pivot="0" count="4" xr9:uid="{00000000-0011-0000-FFFF-FFFF00000000}">
      <tableStyleElement type="wholeTable" size="0" dxfId="2421"/>
      <tableStyleElement type="headerRow" dxfId="2420"/>
      <tableStyleElement type="firstRowStripe" dxfId="2419"/>
      <tableStyleElement type="secondRowStripe" dxfId="2418"/>
    </tableStyle>
    <tableStyle name="2022  GWA SURVEY-style" pivot="0" count="2" xr9:uid="{00000000-0011-0000-FFFF-FFFF01000000}">
      <tableStyleElement type="firstRowStripe" dxfId="2417"/>
      <tableStyleElement type="secondRowStripe" dxfId="2416"/>
    </tableStyle>
    <tableStyle name="2024  GWA  SURVEY-style" pivot="0" count="2" xr9:uid="{00000000-0011-0000-FFFF-FFFF02000000}">
      <tableStyleElement type="firstRowStripe" dxfId="2415"/>
      <tableStyleElement type="secondRowStripe" dxfId="2414"/>
    </tableStyle>
    <tableStyle name="2024  GWA  SURVEY-style 2" pivot="0" count="2" xr9:uid="{00000000-0011-0000-FFFF-FFFF03000000}">
      <tableStyleElement type="firstRowStripe" dxfId="2413"/>
      <tableStyleElement type="secondRowStripe" dxfId="2412"/>
    </tableStyle>
    <tableStyle name="2024  GWA  SURVEY-style 3" pivot="0" count="2" xr9:uid="{00000000-0011-0000-FFFF-FFFF04000000}">
      <tableStyleElement type="firstRowStripe" dxfId="2411"/>
      <tableStyleElement type="secondRowStripe" dxfId="2410"/>
    </tableStyle>
    <tableStyle name="2024  GWA  SURVEY-style 4" pivot="0" count="2" xr9:uid="{00000000-0011-0000-FFFF-FFFF05000000}">
      <tableStyleElement type="firstRowStripe" dxfId="2409"/>
      <tableStyleElement type="secondRowStripe" dxfId="2408"/>
    </tableStyle>
    <tableStyle name="2024  GWA  SURVEY-style 5" pivot="0" count="2" xr9:uid="{00000000-0011-0000-FFFF-FFFF06000000}">
      <tableStyleElement type="firstRowStripe" dxfId="2407"/>
      <tableStyleElement type="secondRowStripe" dxfId="2406"/>
    </tableStyle>
    <tableStyle name="2024  GWA  SURVEY-style 6" pivot="0" count="2" xr9:uid="{00000000-0011-0000-FFFF-FFFF07000000}">
      <tableStyleElement type="firstRowStripe" dxfId="2405"/>
      <tableStyleElement type="secondRowStripe" dxfId="2404"/>
    </tableStyle>
    <tableStyle name="2024  GWA  SURVEY-style 7" pivot="0" count="2" xr9:uid="{00000000-0011-0000-FFFF-FFFF08000000}">
      <tableStyleElement type="firstRowStripe" dxfId="2403"/>
      <tableStyleElement type="secondRowStripe" dxfId="2402"/>
    </tableStyle>
    <tableStyle name="2024  GWA  SURVEY-style 8" pivot="0" count="2" xr9:uid="{00000000-0011-0000-FFFF-FFFF09000000}">
      <tableStyleElement type="firstRowStripe" dxfId="2401"/>
      <tableStyleElement type="secondRowStripe" dxfId="2400"/>
    </tableStyle>
    <tableStyle name="2024  GWA  SURVEY-style 9" pivot="0" count="2" xr9:uid="{00000000-0011-0000-FFFF-FFFF0A000000}">
      <tableStyleElement type="firstRowStripe" dxfId="2399"/>
      <tableStyleElement type="secondRowStripe" dxfId="2398"/>
    </tableStyle>
    <tableStyle name="2024  GWA  SURVEY-style 10" pivot="0" count="2" xr9:uid="{00000000-0011-0000-FFFF-FFFF0B000000}">
      <tableStyleElement type="firstRowStripe" dxfId="2397"/>
      <tableStyleElement type="secondRowStripe" dxfId="2396"/>
    </tableStyle>
    <tableStyle name="2024  GWA  SURVEY-style 11" pivot="0" count="2" xr9:uid="{00000000-0011-0000-FFFF-FFFF0C000000}">
      <tableStyleElement type="firstRowStripe" dxfId="2395"/>
      <tableStyleElement type="secondRowStripe" dxfId="2394"/>
    </tableStyle>
    <tableStyle name="2024  GWA  SURVEY-style 12" pivot="0" count="2" xr9:uid="{00000000-0011-0000-FFFF-FFFF0D000000}">
      <tableStyleElement type="firstRowStripe" dxfId="2393"/>
      <tableStyleElement type="secondRowStripe" dxfId="2392"/>
    </tableStyle>
    <tableStyle name="2024  GWA  SURVEY-style 13" pivot="0" count="2" xr9:uid="{00000000-0011-0000-FFFF-FFFF0E000000}">
      <tableStyleElement type="firstRowStripe" dxfId="2391"/>
      <tableStyleElement type="secondRowStripe" dxfId="2390"/>
    </tableStyle>
    <tableStyle name="2024  GWA  SURVEY-style 14" pivot="0" count="2" xr9:uid="{00000000-0011-0000-FFFF-FFFF0F000000}">
      <tableStyleElement type="firstRowStripe" dxfId="2389"/>
      <tableStyleElement type="secondRowStripe" dxfId="2388"/>
    </tableStyle>
    <tableStyle name="2024  GWA  SURVEY-style 15" pivot="0" count="2" xr9:uid="{00000000-0011-0000-FFFF-FFFF10000000}">
      <tableStyleElement type="firstRowStripe" dxfId="2387"/>
      <tableStyleElement type="secondRowStripe" dxfId="2386"/>
    </tableStyle>
    <tableStyle name="2023  GWA  Survey-style" pivot="0" count="4" xr9:uid="{00000000-0011-0000-FFFF-FFFF11000000}">
      <tableStyleElement type="wholeTable" size="0" dxfId="2385"/>
      <tableStyleElement type="headerRow" dxfId="2384"/>
      <tableStyleElement type="firstRowStripe" dxfId="2383"/>
      <tableStyleElement type="secondRowStripe" dxfId="2382"/>
    </tableStyle>
    <tableStyle name="2023  GWA  Survey-style 2" pivot="0" count="2" xr9:uid="{00000000-0011-0000-FFFF-FFFF12000000}">
      <tableStyleElement type="firstRowStripe" dxfId="2381"/>
      <tableStyleElement type="secondRowStripe" dxfId="2380"/>
    </tableStyle>
    <tableStyle name="2023  GWA  Survey-style 3" pivot="0" count="2" xr9:uid="{00000000-0011-0000-FFFF-FFFF13000000}">
      <tableStyleElement type="firstRowStripe" dxfId="2379"/>
      <tableStyleElement type="secondRowStripe" dxfId="2378"/>
    </tableStyle>
    <tableStyle name="2023  GWA  Survey-style 4" pivot="0" count="2" xr9:uid="{00000000-0011-0000-FFFF-FFFF14000000}">
      <tableStyleElement type="firstRowStripe" dxfId="2377"/>
      <tableStyleElement type="secondRowStripe" dxfId="2376"/>
    </tableStyle>
    <tableStyle name="2023  GWA  Survey-style 5" pivot="0" count="2" xr9:uid="{00000000-0011-0000-FFFF-FFFF15000000}">
      <tableStyleElement type="firstRowStripe" dxfId="2375"/>
      <tableStyleElement type="secondRowStripe" dxfId="2374"/>
    </tableStyle>
    <tableStyle name="2023  GWA  Survey-style 6" pivot="0" count="2" xr9:uid="{00000000-0011-0000-FFFF-FFFF16000000}">
      <tableStyleElement type="firstRowStripe" dxfId="2373"/>
      <tableStyleElement type="secondRowStripe" dxfId="2372"/>
    </tableStyle>
    <tableStyle name="2023  GWA  Survey-style 7" pivot="0" count="2" xr9:uid="{00000000-0011-0000-FFFF-FFFF17000000}">
      <tableStyleElement type="firstRowStripe" dxfId="2371"/>
      <tableStyleElement type="secondRowStripe" dxfId="2370"/>
    </tableStyle>
    <tableStyle name="2023  GWA  Survey-style 8" pivot="0" count="2" xr9:uid="{00000000-0011-0000-FFFF-FFFF18000000}">
      <tableStyleElement type="firstRowStripe" dxfId="2369"/>
      <tableStyleElement type="secondRowStripe" dxfId="2368"/>
    </tableStyle>
    <tableStyle name="2023  GWA  Survey-style 9" pivot="0" count="2" xr9:uid="{00000000-0011-0000-FFFF-FFFF19000000}">
      <tableStyleElement type="firstRowStripe" dxfId="2367"/>
      <tableStyleElement type="secondRowStripe" dxfId="2366"/>
    </tableStyle>
    <tableStyle name="2023  GWA  Survey-style 10" pivot="0" count="2" xr9:uid="{00000000-0011-0000-FFFF-FFFF1A000000}">
      <tableStyleElement type="firstRowStripe" dxfId="2365"/>
      <tableStyleElement type="secondRowStripe" dxfId="2364"/>
    </tableStyle>
    <tableStyle name="2025  GWA  SURVEY-style" pivot="0" count="4" xr9:uid="{00000000-0011-0000-FFFF-FFFF1B000000}">
      <tableStyleElement type="wholeTable" size="0" dxfId="2363"/>
      <tableStyleElement type="headerRow" dxfId="2362"/>
      <tableStyleElement type="firstRowStripe" dxfId="2361"/>
      <tableStyleElement type="secondRowStripe" dxfId="2360"/>
    </tableStyle>
    <tableStyle name="2025  GWA  SURVEY-style 2" pivot="0" count="2" xr9:uid="{00000000-0011-0000-FFFF-FFFF1C000000}">
      <tableStyleElement type="firstRowStripe" dxfId="2359"/>
      <tableStyleElement type="secondRowStripe" dxfId="2358"/>
    </tableStyle>
    <tableStyle name="2025  GWA  SURVEY-style 3" pivot="0" count="2" xr9:uid="{00000000-0011-0000-FFFF-FFFF1D000000}">
      <tableStyleElement type="firstRowStripe" dxfId="2357"/>
      <tableStyleElement type="secondRowStripe" dxfId="2356"/>
    </tableStyle>
    <tableStyle name="2025  GWA  SURVEY-style 4" pivot="0" count="2" xr9:uid="{00000000-0011-0000-FFFF-FFFF1E000000}">
      <tableStyleElement type="firstRowStripe" dxfId="2355"/>
      <tableStyleElement type="secondRowStripe" dxfId="2354"/>
    </tableStyle>
    <tableStyle name="2025  GWA  SURVEY-style 5" pivot="0" count="2" xr9:uid="{00000000-0011-0000-FFFF-FFFF1F000000}">
      <tableStyleElement type="firstRowStripe" dxfId="2353"/>
      <tableStyleElement type="secondRowStripe" dxfId="2352"/>
    </tableStyle>
    <tableStyle name="2025  GWA  SURVEY-style 6" pivot="0" count="2" xr9:uid="{00000000-0011-0000-FFFF-FFFF20000000}">
      <tableStyleElement type="firstRowStripe" dxfId="2351"/>
      <tableStyleElement type="secondRowStripe" dxfId="2350"/>
    </tableStyle>
    <tableStyle name="2025  GWA  SURVEY-style 7" pivot="0" count="2" xr9:uid="{00000000-0011-0000-FFFF-FFFF21000000}">
      <tableStyleElement type="firstRowStripe" dxfId="2349"/>
      <tableStyleElement type="secondRowStripe" dxfId="2348"/>
    </tableStyle>
    <tableStyle name="2025  GWA  SURVEY-style 8" pivot="0" count="2" xr9:uid="{00000000-0011-0000-FFFF-FFFF22000000}">
      <tableStyleElement type="firstRowStripe" dxfId="2347"/>
      <tableStyleElement type="secondRowStripe" dxfId="2346"/>
    </tableStyle>
    <tableStyle name="2025  GWA  SURVEY-style 9" pivot="0" count="2" xr9:uid="{00000000-0011-0000-FFFF-FFFF23000000}">
      <tableStyleElement type="firstRowStripe" dxfId="2345"/>
      <tableStyleElement type="secondRowStripe" dxfId="2344"/>
    </tableStyle>
    <tableStyle name="2025  GWA  SURVEY-style 10" pivot="0" count="2" xr9:uid="{00000000-0011-0000-FFFF-FFFF24000000}">
      <tableStyleElement type="firstRowStripe" dxfId="2343"/>
      <tableStyleElement type="secondRowStripe" dxfId="2342"/>
    </tableStyle>
    <tableStyle name="2025  GWA  SURVEY-style 11" pivot="0" count="2" xr9:uid="{00000000-0011-0000-FFFF-FFFF25000000}">
      <tableStyleElement type="firstRowStripe" dxfId="2341"/>
      <tableStyleElement type="secondRowStripe" dxfId="2340"/>
    </tableStyle>
    <tableStyle name="2025  GWA  SURVEY-style 12" pivot="0" count="2" xr9:uid="{00000000-0011-0000-FFFF-FFFF26000000}">
      <tableStyleElement type="firstRowStripe" dxfId="2339"/>
      <tableStyleElement type="secondRowStripe" dxfId="2338"/>
    </tableStyle>
    <tableStyle name="2025  GWA  SURVEY-style 13" pivot="0" count="2" xr9:uid="{00000000-0011-0000-FFFF-FFFF27000000}">
      <tableStyleElement type="firstRowStripe" dxfId="2337"/>
      <tableStyleElement type="secondRowStripe" dxfId="2336"/>
    </tableStyle>
    <tableStyle name="2025  GWA  SURVEY-style 14" pivot="0" count="2" xr9:uid="{00000000-0011-0000-FFFF-FFFF28000000}">
      <tableStyleElement type="firstRowStripe" dxfId="2335"/>
      <tableStyleElement type="secondRowStripe" dxfId="2334"/>
    </tableStyle>
    <tableStyle name="PRE FINAL 1.1-style" pivot="0" count="4" xr9:uid="{00000000-0011-0000-FFFF-FFFF29000000}">
      <tableStyleElement type="wholeTable" size="0" dxfId="2333"/>
      <tableStyleElement type="headerRow" dxfId="2332"/>
      <tableStyleElement type="firstRowStripe" dxfId="2331"/>
      <tableStyleElement type="secondRowStripe" dxfId="2330"/>
    </tableStyle>
    <tableStyle name="PRE FINAL 1.1-style 2" pivot="0" count="2" xr9:uid="{00000000-0011-0000-FFFF-FFFF2A000000}">
      <tableStyleElement type="firstRowStripe" dxfId="2329"/>
      <tableStyleElement type="secondRowStripe" dxfId="2328"/>
    </tableStyle>
    <tableStyle name="PRE FINAL 1.1-style 3" pivot="0" count="2" xr9:uid="{00000000-0011-0000-FFFF-FFFF2B000000}">
      <tableStyleElement type="firstRowStripe" dxfId="2327"/>
      <tableStyleElement type="secondRowStripe" dxfId="2326"/>
    </tableStyle>
    <tableStyle name="PRE FINAL 1.1-style 4" pivot="0" count="2" xr9:uid="{00000000-0011-0000-FFFF-FFFF2C000000}">
      <tableStyleElement type="firstRowStripe" dxfId="2325"/>
      <tableStyleElement type="secondRowStripe" dxfId="2324"/>
    </tableStyle>
    <tableStyle name="PRE FINAL 1.1-style 5" pivot="0" count="2" xr9:uid="{00000000-0011-0000-FFFF-FFFF2D000000}">
      <tableStyleElement type="firstRowStripe" dxfId="2323"/>
      <tableStyleElement type="secondRowStripe" dxfId="2322"/>
    </tableStyle>
    <tableStyle name="PRE FINAL 1.1-style 6" pivot="0" count="2" xr9:uid="{00000000-0011-0000-FFFF-FFFF2E000000}">
      <tableStyleElement type="firstRowStripe" dxfId="2321"/>
      <tableStyleElement type="secondRowStripe" dxfId="2320"/>
    </tableStyle>
    <tableStyle name="PRE FINAL 1.1-style 7" pivot="0" count="2" xr9:uid="{00000000-0011-0000-FFFF-FFFF2F000000}">
      <tableStyleElement type="firstRowStripe" dxfId="2319"/>
      <tableStyleElement type="secondRowStripe" dxfId="2318"/>
    </tableStyle>
    <tableStyle name="PRE FINAL 1.1-style 8" pivot="0" count="2" xr9:uid="{00000000-0011-0000-FFFF-FFFF30000000}">
      <tableStyleElement type="firstRowStripe" dxfId="2317"/>
      <tableStyleElement type="secondRowStripe" dxfId="2316"/>
    </tableStyle>
    <tableStyle name="PRE FINAL 1.1-style 9" pivot="0" count="2" xr9:uid="{00000000-0011-0000-FFFF-FFFF31000000}">
      <tableStyleElement type="firstRowStripe" dxfId="2315"/>
      <tableStyleElement type="secondRowStripe" dxfId="2314"/>
    </tableStyle>
    <tableStyle name="PRE FINAL 1.1-style 10" pivot="0" count="2" xr9:uid="{00000000-0011-0000-FFFF-FFFF32000000}">
      <tableStyleElement type="firstRowStripe" dxfId="2313"/>
      <tableStyleElement type="secondRowStripe" dxfId="2312"/>
    </tableStyle>
    <tableStyle name="PRE FINAL 1.1-style 11" pivot="0" count="2" xr9:uid="{00000000-0011-0000-FFFF-FFFF33000000}">
      <tableStyleElement type="firstRowStripe" dxfId="2311"/>
      <tableStyleElement type="secondRowStripe" dxfId="2310"/>
    </tableStyle>
    <tableStyle name="PRE FINAL 1.1-style 12" pivot="0" count="2" xr9:uid="{00000000-0011-0000-FFFF-FFFF34000000}">
      <tableStyleElement type="firstRowStripe" dxfId="2309"/>
      <tableStyleElement type="secondRowStripe" dxfId="2308"/>
    </tableStyle>
    <tableStyle name="PRE FINAL 1.1-style 13" pivot="0" count="2" xr9:uid="{00000000-0011-0000-FFFF-FFFF35000000}">
      <tableStyleElement type="firstRowStripe" dxfId="2307"/>
      <tableStyleElement type="secondRowStripe" dxfId="2306"/>
    </tableStyle>
    <tableStyle name="PRE FINAL 1.1-style 14" pivot="0" count="2" xr9:uid="{00000000-0011-0000-FFFF-FFFF36000000}">
      <tableStyleElement type="firstRowStripe" dxfId="2305"/>
      <tableStyleElement type="secondRowStripe" dxfId="2304"/>
    </tableStyle>
    <tableStyle name="PRE FINAL 1.1-style 15" pivot="0" count="2" xr9:uid="{00000000-0011-0000-FFFF-FFFF37000000}">
      <tableStyleElement type="firstRowStripe" dxfId="2303"/>
      <tableStyleElement type="secondRowStripe" dxfId="2302"/>
    </tableStyle>
    <tableStyle name="PRE FINAL 1.1-style 16" pivot="0" count="2" xr9:uid="{00000000-0011-0000-FFFF-FFFF38000000}">
      <tableStyleElement type="firstRowStripe" dxfId="2301"/>
      <tableStyleElement type="secondRowStripe" dxfId="2300"/>
    </tableStyle>
    <tableStyle name="PRE FINAL 1.1-style 17" pivot="0" count="2" xr9:uid="{00000000-0011-0000-FFFF-FFFF39000000}">
      <tableStyleElement type="firstRowStripe" dxfId="2299"/>
      <tableStyleElement type="secondRowStripe" dxfId="2298"/>
    </tableStyle>
    <tableStyle name="PRE FINAL 1.1-style 18" pivot="0" count="2" xr9:uid="{00000000-0011-0000-FFFF-FFFF3A000000}">
      <tableStyleElement type="firstRowStripe" dxfId="2297"/>
      <tableStyleElement type="secondRowStripe" dxfId="2296"/>
    </tableStyle>
    <tableStyle name="PRE FINAL 1.1-style 19" pivot="0" count="2" xr9:uid="{00000000-0011-0000-FFFF-FFFF3B000000}">
      <tableStyleElement type="firstRowStripe" dxfId="2295"/>
      <tableStyleElement type="secondRowStripe" dxfId="2294"/>
    </tableStyle>
    <tableStyle name="PRE FINAL 1.1-style 20" pivot="0" count="2" xr9:uid="{00000000-0011-0000-FFFF-FFFF3C000000}">
      <tableStyleElement type="firstRowStripe" dxfId="2293"/>
      <tableStyleElement type="secondRowStripe" dxfId="2292"/>
    </tableStyle>
    <tableStyle name="PRE FINAL 1.1-style 21" pivot="0" count="2" xr9:uid="{00000000-0011-0000-FFFF-FFFF3D000000}">
      <tableStyleElement type="firstRowStripe" dxfId="2291"/>
      <tableStyleElement type="secondRowStripe" dxfId="2290"/>
    </tableStyle>
    <tableStyle name="PRE FINAL 1.1-style 22" pivot="0" count="2" xr9:uid="{00000000-0011-0000-FFFF-FFFF3E000000}">
      <tableStyleElement type="firstRowStripe" dxfId="2289"/>
      <tableStyleElement type="secondRowStripe" dxfId="2288"/>
    </tableStyle>
    <tableStyle name="PRE FINAL 1.1-style 23" pivot="0" count="2" xr9:uid="{00000000-0011-0000-FFFF-FFFF3F000000}">
      <tableStyleElement type="firstRowStripe" dxfId="2287"/>
      <tableStyleElement type="secondRowStripe" dxfId="2286"/>
    </tableStyle>
    <tableStyle name="PRE FINAL 1.1-style 24" pivot="0" count="2" xr9:uid="{00000000-0011-0000-FFFF-FFFF40000000}">
      <tableStyleElement type="firstRowStripe" dxfId="2285"/>
      <tableStyleElement type="secondRowStripe" dxfId="2284"/>
    </tableStyle>
    <tableStyle name="PRE FINAL 1.1-style 25" pivot="0" count="2" xr9:uid="{00000000-0011-0000-FFFF-FFFF41000000}">
      <tableStyleElement type="firstRowStripe" dxfId="2283"/>
      <tableStyleElement type="secondRowStripe" dxfId="2282"/>
    </tableStyle>
    <tableStyle name="PRE FINAL 1.1-style 26" pivot="0" count="2" xr9:uid="{00000000-0011-0000-FFFF-FFFF42000000}">
      <tableStyleElement type="firstRowStripe" dxfId="2281"/>
      <tableStyleElement type="secondRowStripe" dxfId="2280"/>
    </tableStyle>
    <tableStyle name="PRE FINAL 1.1-style 27" pivot="0" count="2" xr9:uid="{00000000-0011-0000-FFFF-FFFF43000000}">
      <tableStyleElement type="firstRowStripe" dxfId="2279"/>
      <tableStyleElement type="secondRowStripe" dxfId="2278"/>
    </tableStyle>
    <tableStyle name="PRE FINAL 1.1-style 28" pivot="0" count="2" xr9:uid="{00000000-0011-0000-FFFF-FFFF44000000}">
      <tableStyleElement type="firstRowStripe" dxfId="2277"/>
      <tableStyleElement type="secondRowStripe" dxfId="2276"/>
    </tableStyle>
    <tableStyle name="PRE FINAL 1.1-style 29" pivot="0" count="2" xr9:uid="{00000000-0011-0000-FFFF-FFFF45000000}">
      <tableStyleElement type="firstRowStripe" dxfId="2275"/>
      <tableStyleElement type="secondRowStripe" dxfId="2274"/>
    </tableStyle>
    <tableStyle name="PRE FINAL 1.1-style 30" pivot="0" count="2" xr9:uid="{00000000-0011-0000-FFFF-FFFF46000000}">
      <tableStyleElement type="firstRowStripe" dxfId="2273"/>
      <tableStyleElement type="secondRowStripe" dxfId="2272"/>
    </tableStyle>
    <tableStyle name="PRE FINAL 1.1-style 31" pivot="0" count="2" xr9:uid="{00000000-0011-0000-FFFF-FFFF47000000}">
      <tableStyleElement type="firstRowStripe" dxfId="2271"/>
      <tableStyleElement type="secondRowStripe" dxfId="2270"/>
    </tableStyle>
    <tableStyle name="PRE FINAL 1.1-style 32" pivot="0" count="2" xr9:uid="{00000000-0011-0000-FFFF-FFFF48000000}">
      <tableStyleElement type="firstRowStripe" dxfId="2269"/>
      <tableStyleElement type="secondRowStripe" dxfId="2268"/>
    </tableStyle>
    <tableStyle name="PRE FINAL 1.1-style 33" pivot="0" count="2" xr9:uid="{00000000-0011-0000-FFFF-FFFF49000000}">
      <tableStyleElement type="firstRowStripe" dxfId="2267"/>
      <tableStyleElement type="secondRowStripe" dxfId="2266"/>
    </tableStyle>
    <tableStyle name="PRE FINAL 1.1-style 34" pivot="0" count="2" xr9:uid="{00000000-0011-0000-FFFF-FFFF4A000000}">
      <tableStyleElement type="firstRowStripe" dxfId="2265"/>
      <tableStyleElement type="secondRowStripe" dxfId="2264"/>
    </tableStyle>
    <tableStyle name="PRE FINAL 1.1-style 35" pivot="0" count="2" xr9:uid="{00000000-0011-0000-FFFF-FFFF4B000000}">
      <tableStyleElement type="firstRowStripe" dxfId="2263"/>
      <tableStyleElement type="secondRowStripe" dxfId="2262"/>
    </tableStyle>
    <tableStyle name="PRE FINAL 1.1-style 36" pivot="0" count="2" xr9:uid="{00000000-0011-0000-FFFF-FFFF4C000000}">
      <tableStyleElement type="firstRowStripe" dxfId="2261"/>
      <tableStyleElement type="secondRowStripe" dxfId="2260"/>
    </tableStyle>
    <tableStyle name="PRE FINAL 1.1-style 37" pivot="0" count="2" xr9:uid="{00000000-0011-0000-FFFF-FFFF4D000000}">
      <tableStyleElement type="firstRowStripe" dxfId="2259"/>
      <tableStyleElement type="secondRowStripe" dxfId="2258"/>
    </tableStyle>
    <tableStyle name="PRE FINAL 1.1-style 38" pivot="0" count="2" xr9:uid="{00000000-0011-0000-FFFF-FFFF4E000000}">
      <tableStyleElement type="firstRowStripe" dxfId="2257"/>
      <tableStyleElement type="secondRowStripe" dxfId="2256"/>
    </tableStyle>
    <tableStyle name="PRE FINAL 1.1-style 39" pivot="0" count="2" xr9:uid="{00000000-0011-0000-FFFF-FFFF4F000000}">
      <tableStyleElement type="firstRowStripe" dxfId="2255"/>
      <tableStyleElement type="secondRowStripe" dxfId="2254"/>
    </tableStyle>
    <tableStyle name="PRE FINAL 1.1-style 40" pivot="0" count="2" xr9:uid="{00000000-0011-0000-FFFF-FFFF50000000}">
      <tableStyleElement type="firstRowStripe" dxfId="2253"/>
      <tableStyleElement type="secondRowStripe" dxfId="2252"/>
    </tableStyle>
    <tableStyle name="PRE FINAL 1.1-style 41" pivot="0" count="2" xr9:uid="{00000000-0011-0000-FFFF-FFFF51000000}">
      <tableStyleElement type="firstRowStripe" dxfId="2251"/>
      <tableStyleElement type="secondRowStripe" dxfId="2250"/>
    </tableStyle>
    <tableStyle name="PRE FINAL 1.1-style 42" pivot="0" count="2" xr9:uid="{00000000-0011-0000-FFFF-FFFF52000000}">
      <tableStyleElement type="firstRowStripe" dxfId="2249"/>
      <tableStyleElement type="secondRowStripe" dxfId="2248"/>
    </tableStyle>
    <tableStyle name="PRE FINAL 1.1-style 43" pivot="0" count="2" xr9:uid="{00000000-0011-0000-FFFF-FFFF53000000}">
      <tableStyleElement type="firstRowStripe" dxfId="2247"/>
      <tableStyleElement type="secondRowStripe" dxfId="2246"/>
    </tableStyle>
    <tableStyle name="PRE FINAL 1.1-style 44" pivot="0" count="2" xr9:uid="{00000000-0011-0000-FFFF-FFFF54000000}">
      <tableStyleElement type="firstRowStripe" dxfId="2245"/>
      <tableStyleElement type="secondRowStripe" dxfId="2244"/>
    </tableStyle>
    <tableStyle name="PRE FINAL 1.1-style 45" pivot="0" count="2" xr9:uid="{00000000-0011-0000-FFFF-FFFF55000000}">
      <tableStyleElement type="firstRowStripe" dxfId="2243"/>
      <tableStyleElement type="secondRowStripe" dxfId="2242"/>
    </tableStyle>
    <tableStyle name="PRE FINAL 1.1-style 46" pivot="0" count="2" xr9:uid="{00000000-0011-0000-FFFF-FFFF56000000}">
      <tableStyleElement type="firstRowStripe" dxfId="2241"/>
      <tableStyleElement type="secondRowStripe" dxfId="2240"/>
    </tableStyle>
    <tableStyle name="PRE FINAL 1.1-style 47" pivot="0" count="2" xr9:uid="{00000000-0011-0000-FFFF-FFFF57000000}">
      <tableStyleElement type="firstRowStripe" dxfId="2239"/>
      <tableStyleElement type="secondRowStripe" dxfId="2238"/>
    </tableStyle>
    <tableStyle name="PRE FINAL 1.1-style 48" pivot="0" count="2" xr9:uid="{00000000-0011-0000-FFFF-FFFF58000000}">
      <tableStyleElement type="firstRowStripe" dxfId="2237"/>
      <tableStyleElement type="secondRowStripe" dxfId="2236"/>
    </tableStyle>
    <tableStyle name="PRE FINAL 1.1-style 49" pivot="0" count="2" xr9:uid="{00000000-0011-0000-FFFF-FFFF59000000}">
      <tableStyleElement type="firstRowStripe" dxfId="2235"/>
      <tableStyleElement type="secondRowStripe" dxfId="2234"/>
    </tableStyle>
    <tableStyle name="PRE FINAL 1.1-style 50" pivot="0" count="2" xr9:uid="{00000000-0011-0000-FFFF-FFFF5A000000}">
      <tableStyleElement type="firstRowStripe" dxfId="2233"/>
      <tableStyleElement type="secondRowStripe" dxfId="2232"/>
    </tableStyle>
    <tableStyle name="PRE FINAL 1.1-style 51" pivot="0" count="2" xr9:uid="{00000000-0011-0000-FFFF-FFFF5B000000}">
      <tableStyleElement type="firstRowStripe" dxfId="2231"/>
      <tableStyleElement type="secondRowStripe" dxfId="2230"/>
    </tableStyle>
    <tableStyle name="PRE FINAL 1.1-style 52" pivot="0" count="2" xr9:uid="{00000000-0011-0000-FFFF-FFFF5C000000}">
      <tableStyleElement type="firstRowStripe" dxfId="2229"/>
      <tableStyleElement type="secondRowStripe" dxfId="2228"/>
    </tableStyle>
    <tableStyle name="PRE FINAL 1.1-style 53" pivot="0" count="2" xr9:uid="{00000000-0011-0000-FFFF-FFFF5D000000}">
      <tableStyleElement type="firstRowStripe" dxfId="2227"/>
      <tableStyleElement type="secondRowStripe" dxfId="2226"/>
    </tableStyle>
    <tableStyle name="PRE FINAL 1.1-style 54" pivot="0" count="2" xr9:uid="{00000000-0011-0000-FFFF-FFFF5E000000}">
      <tableStyleElement type="firstRowStripe" dxfId="2225"/>
      <tableStyleElement type="secondRowStripe" dxfId="2224"/>
    </tableStyle>
    <tableStyle name="PRE FINAL 1.1-style 55" pivot="0" count="2" xr9:uid="{00000000-0011-0000-FFFF-FFFF5F000000}">
      <tableStyleElement type="firstRowStripe" dxfId="2223"/>
      <tableStyleElement type="secondRowStripe" dxfId="2222"/>
    </tableStyle>
    <tableStyle name="PRE FINAL 1.1-style 56" pivot="0" count="2" xr9:uid="{00000000-0011-0000-FFFF-FFFF60000000}">
      <tableStyleElement type="firstRowStripe" dxfId="2221"/>
      <tableStyleElement type="secondRowStripe" dxfId="2220"/>
    </tableStyle>
    <tableStyle name="PRE FINAL 1.1-style 57" pivot="0" count="2" xr9:uid="{00000000-0011-0000-FFFF-FFFF61000000}">
      <tableStyleElement type="firstRowStripe" dxfId="2219"/>
      <tableStyleElement type="secondRowStripe" dxfId="2218"/>
    </tableStyle>
    <tableStyle name="PRE FINAL 1.1-style 58" pivot="0" count="2" xr9:uid="{00000000-0011-0000-FFFF-FFFF62000000}">
      <tableStyleElement type="firstRowStripe" dxfId="2217"/>
      <tableStyleElement type="secondRowStripe" dxfId="2216"/>
    </tableStyle>
    <tableStyle name="PRE FINAL 1.1-style 59" pivot="0" count="2" xr9:uid="{00000000-0011-0000-FFFF-FFFF63000000}">
      <tableStyleElement type="firstRowStripe" dxfId="2215"/>
      <tableStyleElement type="secondRowStripe" dxfId="2214"/>
    </tableStyle>
    <tableStyle name="PRE FINAL 1.1-style 60" pivot="0" count="2" xr9:uid="{00000000-0011-0000-FFFF-FFFF64000000}">
      <tableStyleElement type="firstRowStripe" dxfId="2213"/>
      <tableStyleElement type="secondRowStripe" dxfId="2212"/>
    </tableStyle>
    <tableStyle name="PRE FINAL 1.1-style 61" pivot="0" count="2" xr9:uid="{00000000-0011-0000-FFFF-FFFF65000000}">
      <tableStyleElement type="firstRowStripe" dxfId="2211"/>
      <tableStyleElement type="secondRowStripe" dxfId="2210"/>
    </tableStyle>
    <tableStyle name="PRE FINAL 1.1-style 62" pivot="0" count="2" xr9:uid="{00000000-0011-0000-FFFF-FFFF66000000}">
      <tableStyleElement type="firstRowStripe" dxfId="2209"/>
      <tableStyleElement type="secondRowStripe" dxfId="2208"/>
    </tableStyle>
    <tableStyle name="PRE FINAL 1.1-style 63" pivot="0" count="2" xr9:uid="{00000000-0011-0000-FFFF-FFFF67000000}">
      <tableStyleElement type="firstRowStripe" dxfId="2207"/>
      <tableStyleElement type="secondRowStripe" dxfId="2206"/>
    </tableStyle>
    <tableStyle name="PRE FINAL 1.1-style 64" pivot="0" count="2" xr9:uid="{00000000-0011-0000-FFFF-FFFF68000000}">
      <tableStyleElement type="firstRowStripe" dxfId="2205"/>
      <tableStyleElement type="secondRowStripe" dxfId="2204"/>
    </tableStyle>
    <tableStyle name="PRE FINAL 1.1-style 65" pivot="0" count="2" xr9:uid="{00000000-0011-0000-FFFF-FFFF69000000}">
      <tableStyleElement type="firstRowStripe" dxfId="2203"/>
      <tableStyleElement type="secondRowStripe" dxfId="2202"/>
    </tableStyle>
    <tableStyle name="PRE FINAL 1.1-style 66" pivot="0" count="2" xr9:uid="{00000000-0011-0000-FFFF-FFFF6A000000}">
      <tableStyleElement type="firstRowStripe" dxfId="2201"/>
      <tableStyleElement type="secondRowStripe" dxfId="2200"/>
    </tableStyle>
    <tableStyle name="PRE FINAL 1.1-style 67" pivot="0" count="2" xr9:uid="{00000000-0011-0000-FFFF-FFFF6B000000}">
      <tableStyleElement type="firstRowStripe" dxfId="2199"/>
      <tableStyleElement type="secondRowStripe" dxfId="2198"/>
    </tableStyle>
    <tableStyle name="PRE FINAL 1.1-style 68" pivot="0" count="2" xr9:uid="{00000000-0011-0000-FFFF-FFFF6C000000}">
      <tableStyleElement type="firstRowStripe" dxfId="2197"/>
      <tableStyleElement type="secondRowStripe" dxfId="2196"/>
    </tableStyle>
    <tableStyle name="PRE FINAL 1.1-style 69" pivot="0" count="2" xr9:uid="{00000000-0011-0000-FFFF-FFFF6D000000}">
      <tableStyleElement type="firstRowStripe" dxfId="2195"/>
      <tableStyleElement type="secondRowStripe" dxfId="2194"/>
    </tableStyle>
    <tableStyle name="PRE FINAL 1.1-style 70" pivot="0" count="2" xr9:uid="{00000000-0011-0000-FFFF-FFFF6E000000}">
      <tableStyleElement type="firstRowStripe" dxfId="2193"/>
      <tableStyleElement type="secondRowStripe" dxfId="2192"/>
    </tableStyle>
    <tableStyle name="PRE FINAL 1.1-style 71" pivot="0" count="2" xr9:uid="{00000000-0011-0000-FFFF-FFFF6F000000}">
      <tableStyleElement type="firstRowStripe" dxfId="2191"/>
      <tableStyleElement type="secondRowStripe" dxfId="2190"/>
    </tableStyle>
    <tableStyle name="PRE FINAL 1.1-style 72" pivot="0" count="2" xr9:uid="{00000000-0011-0000-FFFF-FFFF70000000}">
      <tableStyleElement type="firstRowStripe" dxfId="2189"/>
      <tableStyleElement type="secondRowStripe" dxfId="2188"/>
    </tableStyle>
    <tableStyle name="PRE FINAL 1.1-style 73" pivot="0" count="2" xr9:uid="{00000000-0011-0000-FFFF-FFFF71000000}">
      <tableStyleElement type="firstRowStripe" dxfId="2187"/>
      <tableStyleElement type="secondRowStripe" dxfId="2186"/>
    </tableStyle>
    <tableStyle name="PRE FINAL 1.1-style 74" pivot="0" count="2" xr9:uid="{00000000-0011-0000-FFFF-FFFF72000000}">
      <tableStyleElement type="firstRowStripe" dxfId="2185"/>
      <tableStyleElement type="secondRowStripe" dxfId="2184"/>
    </tableStyle>
    <tableStyle name="PRE FINAL 1.1-style 75" pivot="0" count="2" xr9:uid="{00000000-0011-0000-FFFF-FFFF73000000}">
      <tableStyleElement type="firstRowStripe" dxfId="2183"/>
      <tableStyleElement type="secondRowStripe" dxfId="2182"/>
    </tableStyle>
    <tableStyle name="PRE FINAL 1.1-style 76" pivot="0" count="2" xr9:uid="{00000000-0011-0000-FFFF-FFFF74000000}">
      <tableStyleElement type="firstRowStripe" dxfId="2181"/>
      <tableStyleElement type="secondRowStripe" dxfId="2180"/>
    </tableStyle>
    <tableStyle name="PRE FINAL 1.1-style 77" pivot="0" count="2" xr9:uid="{00000000-0011-0000-FFFF-FFFF75000000}">
      <tableStyleElement type="firstRowStripe" dxfId="2179"/>
      <tableStyleElement type="secondRowStripe" dxfId="2178"/>
    </tableStyle>
    <tableStyle name="PRE FINAL 1.1-style 78" pivot="0" count="2" xr9:uid="{00000000-0011-0000-FFFF-FFFF76000000}">
      <tableStyleElement type="firstRowStripe" dxfId="2177"/>
      <tableStyleElement type="secondRowStripe" dxfId="2176"/>
    </tableStyle>
    <tableStyle name="PRE FINAL 1.1-style 79" pivot="0" count="2" xr9:uid="{00000000-0011-0000-FFFF-FFFF77000000}">
      <tableStyleElement type="firstRowStripe" dxfId="2175"/>
      <tableStyleElement type="secondRowStripe" dxfId="2174"/>
    </tableStyle>
    <tableStyle name="PRE FINAL 1.1-style 80" pivot="0" count="2" xr9:uid="{00000000-0011-0000-FFFF-FFFF78000000}">
      <tableStyleElement type="firstRowStripe" dxfId="2173"/>
      <tableStyleElement type="secondRowStripe" dxfId="2172"/>
    </tableStyle>
    <tableStyle name="PRE FINAL 1.1-style 81" pivot="0" count="2" xr9:uid="{00000000-0011-0000-FFFF-FFFF79000000}">
      <tableStyleElement type="firstRowStripe" dxfId="2171"/>
      <tableStyleElement type="secondRowStripe" dxfId="2170"/>
    </tableStyle>
    <tableStyle name="PRE FINAL 1.1-style 82" pivot="0" count="2" xr9:uid="{00000000-0011-0000-FFFF-FFFF7A000000}">
      <tableStyleElement type="firstRowStripe" dxfId="2169"/>
      <tableStyleElement type="secondRowStripe" dxfId="2168"/>
    </tableStyle>
    <tableStyle name="PRE FINAL 1.1-style 83" pivot="0" count="2" xr9:uid="{00000000-0011-0000-FFFF-FFFF7B000000}">
      <tableStyleElement type="firstRowStripe" dxfId="2167"/>
      <tableStyleElement type="secondRowStripe" dxfId="2166"/>
    </tableStyle>
    <tableStyle name="PRE FINAL 1.1-style 84" pivot="0" count="2" xr9:uid="{00000000-0011-0000-FFFF-FFFF7C000000}">
      <tableStyleElement type="firstRowStripe" dxfId="2165"/>
      <tableStyleElement type="secondRowStripe" dxfId="2164"/>
    </tableStyle>
    <tableStyle name="PRE FINAL 1.1-style 85" pivot="0" count="2" xr9:uid="{00000000-0011-0000-FFFF-FFFF7D000000}">
      <tableStyleElement type="firstRowStripe" dxfId="2163"/>
      <tableStyleElement type="secondRowStripe" dxfId="2162"/>
    </tableStyle>
    <tableStyle name="PRE FINAL 1.1-style 86" pivot="0" count="2" xr9:uid="{00000000-0011-0000-FFFF-FFFF7E000000}">
      <tableStyleElement type="firstRowStripe" dxfId="2161"/>
      <tableStyleElement type="secondRowStripe" dxfId="2160"/>
    </tableStyle>
    <tableStyle name="PRE FINAL 1.1-style 87" pivot="0" count="2" xr9:uid="{00000000-0011-0000-FFFF-FFFF7F000000}">
      <tableStyleElement type="firstRowStripe" dxfId="2159"/>
      <tableStyleElement type="secondRowStripe" dxfId="2158"/>
    </tableStyle>
    <tableStyle name="PRE FINAL 1.1-style 88" pivot="0" count="2" xr9:uid="{00000000-0011-0000-FFFF-FFFF80000000}">
      <tableStyleElement type="firstRowStripe" dxfId="2157"/>
      <tableStyleElement type="secondRowStripe" dxfId="2156"/>
    </tableStyle>
    <tableStyle name="PRE FINAL 1.1-style 89" pivot="0" count="2" xr9:uid="{00000000-0011-0000-FFFF-FFFF81000000}">
      <tableStyleElement type="firstRowStripe" dxfId="2155"/>
      <tableStyleElement type="secondRowStripe" dxfId="2154"/>
    </tableStyle>
    <tableStyle name="PRE FINAL 1.1-style 90" pivot="0" count="2" xr9:uid="{00000000-0011-0000-FFFF-FFFF82000000}">
      <tableStyleElement type="firstRowStripe" dxfId="2153"/>
      <tableStyleElement type="secondRowStripe" dxfId="2152"/>
    </tableStyle>
    <tableStyle name="PRE FINAL 1.1-style 91" pivot="0" count="2" xr9:uid="{00000000-0011-0000-FFFF-FFFF83000000}">
      <tableStyleElement type="firstRowStripe" dxfId="2151"/>
      <tableStyleElement type="secondRowStripe" dxfId="2150"/>
    </tableStyle>
    <tableStyle name="PRE FINAL 1.1-style 92" pivot="0" count="2" xr9:uid="{00000000-0011-0000-FFFF-FFFF84000000}">
      <tableStyleElement type="firstRowStripe" dxfId="2149"/>
      <tableStyleElement type="secondRowStripe" dxfId="2148"/>
    </tableStyle>
    <tableStyle name="PRE FINAL 1.1-style 93" pivot="0" count="2" xr9:uid="{00000000-0011-0000-FFFF-FFFF85000000}">
      <tableStyleElement type="firstRowStripe" dxfId="2147"/>
      <tableStyleElement type="secondRowStripe" dxfId="2146"/>
    </tableStyle>
    <tableStyle name="PRE FINAL 1.1-style 94" pivot="0" count="2" xr9:uid="{00000000-0011-0000-FFFF-FFFF86000000}">
      <tableStyleElement type="firstRowStripe" dxfId="2145"/>
      <tableStyleElement type="secondRowStripe" dxfId="2144"/>
    </tableStyle>
    <tableStyle name="PRE FINAL 1.1-style 95" pivot="0" count="2" xr9:uid="{00000000-0011-0000-FFFF-FFFF87000000}">
      <tableStyleElement type="firstRowStripe" dxfId="2143"/>
      <tableStyleElement type="secondRowStripe" dxfId="2142"/>
    </tableStyle>
    <tableStyle name="PRE FINAL 1.1-style 96" pivot="0" count="2" xr9:uid="{00000000-0011-0000-FFFF-FFFF88000000}">
      <tableStyleElement type="firstRowStripe" dxfId="2141"/>
      <tableStyleElement type="secondRowStripe" dxfId="2140"/>
    </tableStyle>
    <tableStyle name="PRE FINAL 1.1-style 97" pivot="0" count="2" xr9:uid="{00000000-0011-0000-FFFF-FFFF89000000}">
      <tableStyleElement type="firstRowStripe" dxfId="2139"/>
      <tableStyleElement type="secondRowStripe" dxfId="2138"/>
    </tableStyle>
    <tableStyle name="PRE FINAL 1.1-style 98" pivot="0" count="2" xr9:uid="{00000000-0011-0000-FFFF-FFFF8A000000}">
      <tableStyleElement type="firstRowStripe" dxfId="2137"/>
      <tableStyleElement type="secondRowStripe" dxfId="2136"/>
    </tableStyle>
    <tableStyle name="PRE FINAL 1.1-style 99" pivot="0" count="2" xr9:uid="{00000000-0011-0000-FFFF-FFFF8B000000}">
      <tableStyleElement type="firstRowStripe" dxfId="2135"/>
      <tableStyleElement type="secondRowStripe" dxfId="2134"/>
    </tableStyle>
    <tableStyle name="PRE FINAL 1.1-style 100" pivot="0" count="2" xr9:uid="{00000000-0011-0000-FFFF-FFFF8C000000}">
      <tableStyleElement type="firstRowStripe" dxfId="2133"/>
      <tableStyleElement type="secondRowStripe" dxfId="2132"/>
    </tableStyle>
    <tableStyle name="PRE FINAL 1.1-style 101" pivot="0" count="2" xr9:uid="{00000000-0011-0000-FFFF-FFFF8D000000}">
      <tableStyleElement type="firstRowStripe" dxfId="2131"/>
      <tableStyleElement type="secondRowStripe" dxfId="2130"/>
    </tableStyle>
    <tableStyle name="PRE FINAL 1.1-style 102" pivot="0" count="2" xr9:uid="{00000000-0011-0000-FFFF-FFFF8E000000}">
      <tableStyleElement type="firstRowStripe" dxfId="2129"/>
      <tableStyleElement type="secondRowStripe" dxfId="2128"/>
    </tableStyle>
    <tableStyle name="PRE FINAL 1.1-style 103" pivot="0" count="2" xr9:uid="{00000000-0011-0000-FFFF-FFFF8F000000}">
      <tableStyleElement type="firstRowStripe" dxfId="2127"/>
      <tableStyleElement type="secondRowStripe" dxfId="2126"/>
    </tableStyle>
    <tableStyle name="PRE FINAL 1.1-style 104" pivot="0" count="2" xr9:uid="{00000000-0011-0000-FFFF-FFFF90000000}">
      <tableStyleElement type="firstRowStripe" dxfId="2125"/>
      <tableStyleElement type="secondRowStripe" dxfId="2124"/>
    </tableStyle>
    <tableStyle name="PRE FINAL 1.1-style 105" pivot="0" count="2" xr9:uid="{00000000-0011-0000-FFFF-FFFF91000000}">
      <tableStyleElement type="firstRowStripe" dxfId="2123"/>
      <tableStyleElement type="secondRowStripe" dxfId="2122"/>
    </tableStyle>
    <tableStyle name="PRE FINAL 1.1-style 106" pivot="0" count="2" xr9:uid="{00000000-0011-0000-FFFF-FFFF92000000}">
      <tableStyleElement type="firstRowStripe" dxfId="2121"/>
      <tableStyleElement type="secondRowStripe" dxfId="2120"/>
    </tableStyle>
    <tableStyle name="PRE FINAL 1.1-style 107" pivot="0" count="2" xr9:uid="{00000000-0011-0000-FFFF-FFFF93000000}">
      <tableStyleElement type="firstRowStripe" dxfId="2119"/>
      <tableStyleElement type="secondRowStripe" dxfId="2118"/>
    </tableStyle>
    <tableStyle name="PRE FINAL 1.1-style 108" pivot="0" count="2" xr9:uid="{00000000-0011-0000-FFFF-FFFF94000000}">
      <tableStyleElement type="firstRowStripe" dxfId="2117"/>
      <tableStyleElement type="secondRowStripe" dxfId="2116"/>
    </tableStyle>
    <tableStyle name="PRE FINAL 1.1-style 109" pivot="0" count="2" xr9:uid="{00000000-0011-0000-FFFF-FFFF95000000}">
      <tableStyleElement type="firstRowStripe" dxfId="2115"/>
      <tableStyleElement type="secondRowStripe" dxfId="2114"/>
    </tableStyle>
    <tableStyle name="PRE FINAL 1.1-style 110" pivot="0" count="2" xr9:uid="{00000000-0011-0000-FFFF-FFFF96000000}">
      <tableStyleElement type="firstRowStripe" dxfId="2113"/>
      <tableStyleElement type="secondRowStripe" dxfId="2112"/>
    </tableStyle>
    <tableStyle name="PRE FINAL 1.1-style 111" pivot="0" count="2" xr9:uid="{00000000-0011-0000-FFFF-FFFF97000000}">
      <tableStyleElement type="firstRowStripe" dxfId="2111"/>
      <tableStyleElement type="secondRowStripe" dxfId="2110"/>
    </tableStyle>
    <tableStyle name="PRE FINAL 1.1-style 112" pivot="0" count="2" xr9:uid="{00000000-0011-0000-FFFF-FFFF98000000}">
      <tableStyleElement type="firstRowStripe" dxfId="2109"/>
      <tableStyleElement type="secondRowStripe" dxfId="2108"/>
    </tableStyle>
    <tableStyle name="PRE FINAL 1.1-style 113" pivot="0" count="2" xr9:uid="{00000000-0011-0000-FFFF-FFFF99000000}">
      <tableStyleElement type="firstRowStripe" dxfId="2107"/>
      <tableStyleElement type="secondRowStripe" dxfId="2106"/>
    </tableStyle>
    <tableStyle name="PRE FINAL 1.1-style 114" pivot="0" count="2" xr9:uid="{00000000-0011-0000-FFFF-FFFF9A000000}">
      <tableStyleElement type="firstRowStripe" dxfId="2105"/>
      <tableStyleElement type="secondRowStripe" dxfId="2104"/>
    </tableStyle>
    <tableStyle name="PRE FINAL 1.1-style 115" pivot="0" count="2" xr9:uid="{00000000-0011-0000-FFFF-FFFF9B000000}">
      <tableStyleElement type="firstRowStripe" dxfId="2103"/>
      <tableStyleElement type="secondRowStripe" dxfId="2102"/>
    </tableStyle>
    <tableStyle name="PRE FINAL 1.1-style 116" pivot="0" count="2" xr9:uid="{00000000-0011-0000-FFFF-FFFF9C000000}">
      <tableStyleElement type="firstRowStripe" dxfId="2101"/>
      <tableStyleElement type="secondRowStripe" dxfId="2100"/>
    </tableStyle>
    <tableStyle name="PRE FINAL 1.1-style 117" pivot="0" count="2" xr9:uid="{00000000-0011-0000-FFFF-FFFF9D000000}">
      <tableStyleElement type="firstRowStripe" dxfId="2099"/>
      <tableStyleElement type="secondRowStripe" dxfId="2098"/>
    </tableStyle>
    <tableStyle name="PRE FINAL 1.1-style 118" pivot="0" count="2" xr9:uid="{00000000-0011-0000-FFFF-FFFF9E000000}">
      <tableStyleElement type="firstRowStripe" dxfId="2097"/>
      <tableStyleElement type="secondRowStripe" dxfId="2096"/>
    </tableStyle>
    <tableStyle name="PRE FINAL 1.1-style 119" pivot="0" count="2" xr9:uid="{00000000-0011-0000-FFFF-FFFF9F000000}">
      <tableStyleElement type="firstRowStripe" dxfId="2095"/>
      <tableStyleElement type="secondRowStripe" dxfId="2094"/>
    </tableStyle>
    <tableStyle name="PRE FINAL 1.1-style 120" pivot="0" count="2" xr9:uid="{00000000-0011-0000-FFFF-FFFFA0000000}">
      <tableStyleElement type="firstRowStripe" dxfId="2093"/>
      <tableStyleElement type="secondRowStripe" dxfId="2092"/>
    </tableStyle>
    <tableStyle name="PRE FINAL 1.1-style 121" pivot="0" count="2" xr9:uid="{00000000-0011-0000-FFFF-FFFFA1000000}">
      <tableStyleElement type="firstRowStripe" dxfId="2091"/>
      <tableStyleElement type="secondRowStripe" dxfId="2090"/>
    </tableStyle>
    <tableStyle name="PRE FINAL 1.1-style 122" pivot="0" count="2" xr9:uid="{00000000-0011-0000-FFFF-FFFFA2000000}">
      <tableStyleElement type="firstRowStripe" dxfId="2089"/>
      <tableStyleElement type="secondRowStripe" dxfId="2088"/>
    </tableStyle>
    <tableStyle name="PRE FINAL 1.1-style 123" pivot="0" count="2" xr9:uid="{00000000-0011-0000-FFFF-FFFFA3000000}">
      <tableStyleElement type="firstRowStripe" dxfId="2087"/>
      <tableStyleElement type="secondRowStripe" dxfId="2086"/>
    </tableStyle>
    <tableStyle name="PRE FINAL 1.1-style 124" pivot="0" count="2" xr9:uid="{00000000-0011-0000-FFFF-FFFFA4000000}">
      <tableStyleElement type="firstRowStripe" dxfId="2085"/>
      <tableStyleElement type="secondRowStripe" dxfId="2084"/>
    </tableStyle>
    <tableStyle name="PRE FINAL 1.1-style 125" pivot="0" count="2" xr9:uid="{00000000-0011-0000-FFFF-FFFFA5000000}">
      <tableStyleElement type="firstRowStripe" dxfId="2083"/>
      <tableStyleElement type="secondRowStripe" dxfId="2082"/>
    </tableStyle>
    <tableStyle name="PRE FINAL 1.1-style 126" pivot="0" count="2" xr9:uid="{00000000-0011-0000-FFFF-FFFFA6000000}">
      <tableStyleElement type="firstRowStripe" dxfId="2081"/>
      <tableStyleElement type="secondRowStripe" dxfId="2080"/>
    </tableStyle>
    <tableStyle name="PRE FINAL 1.1-style 127" pivot="0" count="2" xr9:uid="{00000000-0011-0000-FFFF-FFFFA7000000}">
      <tableStyleElement type="firstRowStripe" dxfId="2079"/>
      <tableStyleElement type="secondRowStripe" dxfId="2078"/>
    </tableStyle>
    <tableStyle name="PRE FINAL 1.1-style 128" pivot="0" count="2" xr9:uid="{00000000-0011-0000-FFFF-FFFFA8000000}">
      <tableStyleElement type="firstRowStripe" dxfId="2077"/>
      <tableStyleElement type="secondRowStripe" dxfId="2076"/>
    </tableStyle>
    <tableStyle name="PRE FINAL 1.1-style 129" pivot="0" count="2" xr9:uid="{00000000-0011-0000-FFFF-FFFFA9000000}">
      <tableStyleElement type="firstRowStripe" dxfId="2075"/>
      <tableStyleElement type="secondRowStripe" dxfId="2074"/>
    </tableStyle>
    <tableStyle name="PRE FINAL 1.1-style 130" pivot="0" count="2" xr9:uid="{00000000-0011-0000-FFFF-FFFFAA000000}">
      <tableStyleElement type="firstRowStripe" dxfId="2073"/>
      <tableStyleElement type="secondRowStripe" dxfId="2072"/>
    </tableStyle>
    <tableStyle name="PRE FINAL 1.1-style 131" pivot="0" count="2" xr9:uid="{00000000-0011-0000-FFFF-FFFFAB000000}">
      <tableStyleElement type="firstRowStripe" dxfId="2071"/>
      <tableStyleElement type="secondRowStripe" dxfId="2070"/>
    </tableStyle>
    <tableStyle name="PRE FINAL 1.1-style 132" pivot="0" count="2" xr9:uid="{00000000-0011-0000-FFFF-FFFFAC000000}">
      <tableStyleElement type="firstRowStripe" dxfId="2069"/>
      <tableStyleElement type="secondRowStripe" dxfId="2068"/>
    </tableStyle>
    <tableStyle name="PRE FINAL 1.1-style 133" pivot="0" count="2" xr9:uid="{00000000-0011-0000-FFFF-FFFFAD000000}">
      <tableStyleElement type="firstRowStripe" dxfId="2067"/>
      <tableStyleElement type="secondRowStripe" dxfId="2066"/>
    </tableStyle>
    <tableStyle name="PRE FINAL 1.1-style 134" pivot="0" count="2" xr9:uid="{00000000-0011-0000-FFFF-FFFFAE000000}">
      <tableStyleElement type="firstRowStripe" dxfId="2065"/>
      <tableStyleElement type="secondRowStripe" dxfId="2064"/>
    </tableStyle>
    <tableStyle name="PRE FINAL 1.1-style 135" pivot="0" count="2" xr9:uid="{00000000-0011-0000-FFFF-FFFFAF000000}">
      <tableStyleElement type="firstRowStripe" dxfId="2063"/>
      <tableStyleElement type="secondRowStripe" dxfId="2062"/>
    </tableStyle>
    <tableStyle name="PRE FINAL 1.1-style 136" pivot="0" count="2" xr9:uid="{00000000-0011-0000-FFFF-FFFFB0000000}">
      <tableStyleElement type="firstRowStripe" dxfId="2061"/>
      <tableStyleElement type="secondRowStripe" dxfId="2060"/>
    </tableStyle>
    <tableStyle name="PRE FINAL 1.1-style 137" pivot="0" count="2" xr9:uid="{00000000-0011-0000-FFFF-FFFFB1000000}">
      <tableStyleElement type="firstRowStripe" dxfId="2059"/>
      <tableStyleElement type="secondRowStripe" dxfId="2058"/>
    </tableStyle>
    <tableStyle name="PRE FINAL 1.1-style 138" pivot="0" count="2" xr9:uid="{00000000-0011-0000-FFFF-FFFFB2000000}">
      <tableStyleElement type="firstRowStripe" dxfId="2057"/>
      <tableStyleElement type="secondRowStripe" dxfId="2056"/>
    </tableStyle>
    <tableStyle name="PRE FINAL 1.1-style 139" pivot="0" count="2" xr9:uid="{00000000-0011-0000-FFFF-FFFFB3000000}">
      <tableStyleElement type="firstRowStripe" dxfId="2055"/>
      <tableStyleElement type="secondRowStripe" dxfId="2054"/>
    </tableStyle>
    <tableStyle name="PRE FINAL 1.1-style 140" pivot="0" count="2" xr9:uid="{00000000-0011-0000-FFFF-FFFFB4000000}">
      <tableStyleElement type="firstRowStripe" dxfId="2053"/>
      <tableStyleElement type="secondRowStripe" dxfId="2052"/>
    </tableStyle>
    <tableStyle name="PRE FINAL 1.1-style 141" pivot="0" count="2" xr9:uid="{00000000-0011-0000-FFFF-FFFFB5000000}">
      <tableStyleElement type="firstRowStripe" dxfId="2051"/>
      <tableStyleElement type="secondRowStripe" dxfId="2050"/>
    </tableStyle>
    <tableStyle name="PRE FINAL 1.1-style 142" pivot="0" count="2" xr9:uid="{00000000-0011-0000-FFFF-FFFFB6000000}">
      <tableStyleElement type="firstRowStripe" dxfId="2049"/>
      <tableStyleElement type="secondRowStripe" dxfId="2048"/>
    </tableStyle>
    <tableStyle name="PRE FINAL 1.1-style 143" pivot="0" count="2" xr9:uid="{00000000-0011-0000-FFFF-FFFFB7000000}">
      <tableStyleElement type="firstRowStripe" dxfId="2047"/>
      <tableStyleElement type="secondRowStripe" dxfId="2046"/>
    </tableStyle>
    <tableStyle name="PRE FINAL 1.1-style 144" pivot="0" count="2" xr9:uid="{00000000-0011-0000-FFFF-FFFFB8000000}">
      <tableStyleElement type="firstRowStripe" dxfId="2045"/>
      <tableStyleElement type="secondRowStripe" dxfId="2044"/>
    </tableStyle>
    <tableStyle name="PRE FINAL 1.1-style 145" pivot="0" count="2" xr9:uid="{00000000-0011-0000-FFFF-FFFFB9000000}">
      <tableStyleElement type="firstRowStripe" dxfId="2043"/>
      <tableStyleElement type="secondRowStripe" dxfId="2042"/>
    </tableStyle>
    <tableStyle name="PRE FINAL 1.1-style 146" pivot="0" count="2" xr9:uid="{00000000-0011-0000-FFFF-FFFFBA000000}">
      <tableStyleElement type="firstRowStripe" dxfId="2041"/>
      <tableStyleElement type="secondRowStripe" dxfId="2040"/>
    </tableStyle>
    <tableStyle name="PRE FINAL 1.1-style 147" pivot="0" count="2" xr9:uid="{00000000-0011-0000-FFFF-FFFFBB000000}">
      <tableStyleElement type="firstRowStripe" dxfId="2039"/>
      <tableStyleElement type="secondRowStripe" dxfId="2038"/>
    </tableStyle>
    <tableStyle name="PRE FINAL 1.1-style 148" pivot="0" count="2" xr9:uid="{00000000-0011-0000-FFFF-FFFFBC000000}">
      <tableStyleElement type="firstRowStripe" dxfId="2037"/>
      <tableStyleElement type="secondRowStripe" dxfId="2036"/>
    </tableStyle>
    <tableStyle name="PRE FINAL 1.1-style 149" pivot="0" count="2" xr9:uid="{00000000-0011-0000-FFFF-FFFFBD000000}">
      <tableStyleElement type="firstRowStripe" dxfId="2035"/>
      <tableStyleElement type="secondRowStripe" dxfId="2034"/>
    </tableStyle>
    <tableStyle name="PRE FINAL 1.1-style 150" pivot="0" count="2" xr9:uid="{00000000-0011-0000-FFFF-FFFFBE000000}">
      <tableStyleElement type="firstRowStripe" dxfId="2033"/>
      <tableStyleElement type="secondRowStripe" dxfId="2032"/>
    </tableStyle>
    <tableStyle name="PRE FINAL 1.1-style 151" pivot="0" count="2" xr9:uid="{00000000-0011-0000-FFFF-FFFFBF000000}">
      <tableStyleElement type="firstRowStripe" dxfId="2031"/>
      <tableStyleElement type="secondRowStripe" dxfId="2030"/>
    </tableStyle>
    <tableStyle name="PRE FINAL 1.1-style 152" pivot="0" count="2" xr9:uid="{00000000-0011-0000-FFFF-FFFFC0000000}">
      <tableStyleElement type="firstRowStripe" dxfId="2029"/>
      <tableStyleElement type="secondRowStripe" dxfId="2028"/>
    </tableStyle>
    <tableStyle name="PRE FINAL 1.1-style 153" pivot="0" count="2" xr9:uid="{00000000-0011-0000-FFFF-FFFFC1000000}">
      <tableStyleElement type="firstRowStripe" dxfId="2027"/>
      <tableStyleElement type="secondRowStripe" dxfId="2026"/>
    </tableStyle>
    <tableStyle name="PRE FINAL 1.1-style 154" pivot="0" count="2" xr9:uid="{00000000-0011-0000-FFFF-FFFFC2000000}">
      <tableStyleElement type="firstRowStripe" dxfId="2025"/>
      <tableStyleElement type="secondRowStripe" dxfId="2024"/>
    </tableStyle>
    <tableStyle name="PRE FINAL 1.1-style 155" pivot="0" count="2" xr9:uid="{00000000-0011-0000-FFFF-FFFFC3000000}">
      <tableStyleElement type="firstRowStripe" dxfId="2023"/>
      <tableStyleElement type="secondRowStripe" dxfId="2022"/>
    </tableStyle>
    <tableStyle name="PRE FINAL 1.1-style 156" pivot="0" count="2" xr9:uid="{00000000-0011-0000-FFFF-FFFFC4000000}">
      <tableStyleElement type="firstRowStripe" dxfId="2021"/>
      <tableStyleElement type="secondRowStripe" dxfId="2020"/>
    </tableStyle>
    <tableStyle name="PRE FINAL 1.1-style 157" pivot="0" count="2" xr9:uid="{00000000-0011-0000-FFFF-FFFFC5000000}">
      <tableStyleElement type="firstRowStripe" dxfId="2019"/>
      <tableStyleElement type="secondRowStripe" dxfId="2018"/>
    </tableStyle>
    <tableStyle name="PRE FINAL 1.1-style 158" pivot="0" count="2" xr9:uid="{00000000-0011-0000-FFFF-FFFFC6000000}">
      <tableStyleElement type="firstRowStripe" dxfId="2017"/>
      <tableStyleElement type="secondRowStripe" dxfId="2016"/>
    </tableStyle>
    <tableStyle name="PRE FINAL 1.1-style 159" pivot="0" count="2" xr9:uid="{00000000-0011-0000-FFFF-FFFFC7000000}">
      <tableStyleElement type="firstRowStripe" dxfId="2015"/>
      <tableStyleElement type="secondRowStripe" dxfId="2014"/>
    </tableStyle>
    <tableStyle name="PRE FINAL 1.1-style 160" pivot="0" count="2" xr9:uid="{00000000-0011-0000-FFFF-FFFFC8000000}">
      <tableStyleElement type="firstRowStripe" dxfId="2013"/>
      <tableStyleElement type="secondRowStripe" dxfId="2012"/>
    </tableStyle>
    <tableStyle name="PRE FINAL 1.1-style 161" pivot="0" count="2" xr9:uid="{00000000-0011-0000-FFFF-FFFFC9000000}">
      <tableStyleElement type="firstRowStripe" dxfId="2011"/>
      <tableStyleElement type="secondRowStripe" dxfId="2010"/>
    </tableStyle>
    <tableStyle name="PRE FINAL 1.1-style 162" pivot="0" count="2" xr9:uid="{00000000-0011-0000-FFFF-FFFFCA000000}">
      <tableStyleElement type="firstRowStripe" dxfId="2009"/>
      <tableStyleElement type="secondRowStripe" dxfId="2008"/>
    </tableStyle>
    <tableStyle name="PRE FINAL 1.1-style 163" pivot="0" count="2" xr9:uid="{00000000-0011-0000-FFFF-FFFFCB000000}">
      <tableStyleElement type="firstRowStripe" dxfId="2007"/>
      <tableStyleElement type="secondRowStripe" dxfId="2006"/>
    </tableStyle>
    <tableStyle name="PRE FINAL 1.1-style 164" pivot="0" count="2" xr9:uid="{00000000-0011-0000-FFFF-FFFFCC000000}">
      <tableStyleElement type="firstRowStripe" dxfId="2005"/>
      <tableStyleElement type="secondRowStripe" dxfId="2004"/>
    </tableStyle>
    <tableStyle name="PRE FINAL 1.1-style 165" pivot="0" count="2" xr9:uid="{00000000-0011-0000-FFFF-FFFFCD000000}">
      <tableStyleElement type="firstRowStripe" dxfId="2003"/>
      <tableStyleElement type="secondRowStripe" dxfId="2002"/>
    </tableStyle>
    <tableStyle name="PRE FINAL 1.1-style 166" pivot="0" count="2" xr9:uid="{00000000-0011-0000-FFFF-FFFFCE000000}">
      <tableStyleElement type="firstRowStripe" dxfId="2001"/>
      <tableStyleElement type="secondRowStripe" dxfId="2000"/>
    </tableStyle>
    <tableStyle name="PRE FINAL 1.1-style 167" pivot="0" count="2" xr9:uid="{00000000-0011-0000-FFFF-FFFFCF000000}">
      <tableStyleElement type="firstRowStripe" dxfId="1999"/>
      <tableStyleElement type="secondRowStripe" dxfId="1998"/>
    </tableStyle>
    <tableStyle name="PRE FINAL 1.1-style 168" pivot="0" count="2" xr9:uid="{00000000-0011-0000-FFFF-FFFFD0000000}">
      <tableStyleElement type="firstRowStripe" dxfId="1997"/>
      <tableStyleElement type="secondRowStripe" dxfId="1996"/>
    </tableStyle>
    <tableStyle name="PRE FINAL 1.1-style 169" pivot="0" count="2" xr9:uid="{00000000-0011-0000-FFFF-FFFFD1000000}">
      <tableStyleElement type="firstRowStripe" dxfId="1995"/>
      <tableStyleElement type="secondRowStripe" dxfId="1994"/>
    </tableStyle>
    <tableStyle name="PRE FINAL 1.1-style 170" pivot="0" count="2" xr9:uid="{00000000-0011-0000-FFFF-FFFFD2000000}">
      <tableStyleElement type="firstRowStripe" dxfId="1993"/>
      <tableStyleElement type="secondRowStripe" dxfId="1992"/>
    </tableStyle>
    <tableStyle name="PRE FINAL 1.1-style 171" pivot="0" count="2" xr9:uid="{00000000-0011-0000-FFFF-FFFFD3000000}">
      <tableStyleElement type="firstRowStripe" dxfId="1991"/>
      <tableStyleElement type="secondRowStripe" dxfId="1990"/>
    </tableStyle>
    <tableStyle name="PRE FINAL 1.1-style 172" pivot="0" count="2" xr9:uid="{00000000-0011-0000-FFFF-FFFFD4000000}">
      <tableStyleElement type="firstRowStripe" dxfId="1989"/>
      <tableStyleElement type="secondRowStripe" dxfId="1988"/>
    </tableStyle>
    <tableStyle name="PRE FINAL 1.1-style 173" pivot="0" count="2" xr9:uid="{00000000-0011-0000-FFFF-FFFFD5000000}">
      <tableStyleElement type="firstRowStripe" dxfId="1987"/>
      <tableStyleElement type="secondRowStripe" dxfId="1986"/>
    </tableStyle>
    <tableStyle name="PRE FINAL 1.1-style 174" pivot="0" count="2" xr9:uid="{00000000-0011-0000-FFFF-FFFFD6000000}">
      <tableStyleElement type="firstRowStripe" dxfId="1985"/>
      <tableStyleElement type="secondRowStripe" dxfId="1984"/>
    </tableStyle>
    <tableStyle name="PRE FINAL 1.1-style 175" pivot="0" count="2" xr9:uid="{00000000-0011-0000-FFFF-FFFFD7000000}">
      <tableStyleElement type="firstRowStripe" dxfId="1983"/>
      <tableStyleElement type="secondRowStripe" dxfId="1982"/>
    </tableStyle>
    <tableStyle name="PRE FINAL 1.1-style 176" pivot="0" count="2" xr9:uid="{00000000-0011-0000-FFFF-FFFFD8000000}">
      <tableStyleElement type="firstRowStripe" dxfId="1981"/>
      <tableStyleElement type="secondRowStripe" dxfId="1980"/>
    </tableStyle>
    <tableStyle name="PRE FINAL 1.1-style 177" pivot="0" count="2" xr9:uid="{00000000-0011-0000-FFFF-FFFFD9000000}">
      <tableStyleElement type="firstRowStripe" dxfId="1979"/>
      <tableStyleElement type="secondRowStripe" dxfId="1978"/>
    </tableStyle>
    <tableStyle name="PRE FINAL 1.1-style 178" pivot="0" count="2" xr9:uid="{00000000-0011-0000-FFFF-FFFFDA000000}">
      <tableStyleElement type="firstRowStripe" dxfId="1977"/>
      <tableStyleElement type="secondRowStripe" dxfId="1976"/>
    </tableStyle>
    <tableStyle name="PRE FINAL 1.1-style 179" pivot="0" count="2" xr9:uid="{00000000-0011-0000-FFFF-FFFFDB000000}">
      <tableStyleElement type="firstRowStripe" dxfId="1975"/>
      <tableStyleElement type="secondRowStripe" dxfId="1974"/>
    </tableStyle>
    <tableStyle name="PRE FINAL 1.1-style 180" pivot="0" count="2" xr9:uid="{00000000-0011-0000-FFFF-FFFFDC000000}">
      <tableStyleElement type="firstRowStripe" dxfId="1973"/>
      <tableStyleElement type="secondRowStripe" dxfId="1972"/>
    </tableStyle>
    <tableStyle name="PRE FINAL 1.1-style 181" pivot="0" count="2" xr9:uid="{00000000-0011-0000-FFFF-FFFFDD000000}">
      <tableStyleElement type="firstRowStripe" dxfId="1971"/>
      <tableStyleElement type="secondRowStripe" dxfId="1970"/>
    </tableStyle>
    <tableStyle name="PRE FINAL 1.1-style 182" pivot="0" count="2" xr9:uid="{00000000-0011-0000-FFFF-FFFFDE000000}">
      <tableStyleElement type="firstRowStripe" dxfId="1969"/>
      <tableStyleElement type="secondRowStripe" dxfId="1968"/>
    </tableStyle>
    <tableStyle name="PRE FINAL 1.1-style 183" pivot="0" count="2" xr9:uid="{00000000-0011-0000-FFFF-FFFFDF000000}">
      <tableStyleElement type="firstRowStripe" dxfId="1967"/>
      <tableStyleElement type="secondRowStripe" dxfId="1966"/>
    </tableStyle>
    <tableStyle name="PRE FINAL 1.1-style 184" pivot="0" count="2" xr9:uid="{00000000-0011-0000-FFFF-FFFFE0000000}">
      <tableStyleElement type="firstRowStripe" dxfId="1965"/>
      <tableStyleElement type="secondRowStripe" dxfId="1964"/>
    </tableStyle>
    <tableStyle name="PRE FINAL 1.1-style 185" pivot="0" count="2" xr9:uid="{00000000-0011-0000-FFFF-FFFFE1000000}">
      <tableStyleElement type="firstRowStripe" dxfId="1963"/>
      <tableStyleElement type="secondRowStripe" dxfId="1962"/>
    </tableStyle>
    <tableStyle name="PRE FINAL 1.1-style 186" pivot="0" count="2" xr9:uid="{00000000-0011-0000-FFFF-FFFFE2000000}">
      <tableStyleElement type="firstRowStripe" dxfId="1961"/>
      <tableStyleElement type="secondRowStripe" dxfId="1960"/>
    </tableStyle>
    <tableStyle name="PRE FINAL 1.1-style 187" pivot="0" count="2" xr9:uid="{00000000-0011-0000-FFFF-FFFFE3000000}">
      <tableStyleElement type="firstRowStripe" dxfId="1959"/>
      <tableStyleElement type="secondRowStripe" dxfId="1958"/>
    </tableStyle>
    <tableStyle name="PRE FINAL 1.1-style 188" pivot="0" count="2" xr9:uid="{00000000-0011-0000-FFFF-FFFFE4000000}">
      <tableStyleElement type="firstRowStripe" dxfId="1957"/>
      <tableStyleElement type="secondRowStripe" dxfId="1956"/>
    </tableStyle>
    <tableStyle name="PRE FINAL 1.1-style 189" pivot="0" count="2" xr9:uid="{00000000-0011-0000-FFFF-FFFFE5000000}">
      <tableStyleElement type="firstRowStripe" dxfId="1955"/>
      <tableStyleElement type="secondRowStripe" dxfId="1954"/>
    </tableStyle>
    <tableStyle name="PRE FINAL 1.1-style 190" pivot="0" count="2" xr9:uid="{00000000-0011-0000-FFFF-FFFFE6000000}">
      <tableStyleElement type="firstRowStripe" dxfId="1953"/>
      <tableStyleElement type="secondRowStripe" dxfId="1952"/>
    </tableStyle>
    <tableStyle name="PRE FINAL 1.1-style 191" pivot="0" count="2" xr9:uid="{00000000-0011-0000-FFFF-FFFFE7000000}">
      <tableStyleElement type="firstRowStripe" dxfId="1951"/>
      <tableStyleElement type="secondRowStripe" dxfId="1950"/>
    </tableStyle>
    <tableStyle name="PRE FINAL 1.1-style 192" pivot="0" count="2" xr9:uid="{00000000-0011-0000-FFFF-FFFFE8000000}">
      <tableStyleElement type="firstRowStripe" dxfId="1949"/>
      <tableStyleElement type="secondRowStripe" dxfId="1948"/>
    </tableStyle>
    <tableStyle name="PRE FINAL 1.1-style 193" pivot="0" count="2" xr9:uid="{00000000-0011-0000-FFFF-FFFFE9000000}">
      <tableStyleElement type="firstRowStripe" dxfId="1947"/>
      <tableStyleElement type="secondRowStripe" dxfId="1946"/>
    </tableStyle>
    <tableStyle name="PRE FINAL 1.1-style 194" pivot="0" count="2" xr9:uid="{00000000-0011-0000-FFFF-FFFFEA000000}">
      <tableStyleElement type="firstRowStripe" dxfId="1945"/>
      <tableStyleElement type="secondRowStripe" dxfId="1944"/>
    </tableStyle>
    <tableStyle name="PRE FINAL 1.1-style 195" pivot="0" count="2" xr9:uid="{00000000-0011-0000-FFFF-FFFFEB000000}">
      <tableStyleElement type="firstRowStripe" dxfId="1943"/>
      <tableStyleElement type="secondRowStripe" dxfId="1942"/>
    </tableStyle>
    <tableStyle name="PRE FINAL 1.1-style 196" pivot="0" count="2" xr9:uid="{00000000-0011-0000-FFFF-FFFFEC000000}">
      <tableStyleElement type="firstRowStripe" dxfId="1941"/>
      <tableStyleElement type="secondRowStripe" dxfId="1940"/>
    </tableStyle>
    <tableStyle name="PRE FINAL 1.1-style 197" pivot="0" count="2" xr9:uid="{00000000-0011-0000-FFFF-FFFFED000000}">
      <tableStyleElement type="firstRowStripe" dxfId="1939"/>
      <tableStyleElement type="secondRowStripe" dxfId="1938"/>
    </tableStyle>
    <tableStyle name="PRE FINAL 1.1-style 198" pivot="0" count="2" xr9:uid="{00000000-0011-0000-FFFF-FFFFEE000000}">
      <tableStyleElement type="firstRowStripe" dxfId="1937"/>
      <tableStyleElement type="secondRowStripe" dxfId="1936"/>
    </tableStyle>
    <tableStyle name="PRE FINAL 1.1-style 199" pivot="0" count="2" xr9:uid="{00000000-0011-0000-FFFF-FFFFEF000000}">
      <tableStyleElement type="firstRowStripe" dxfId="1935"/>
      <tableStyleElement type="secondRowStripe" dxfId="1934"/>
    </tableStyle>
    <tableStyle name="PRE FINAL 1.1-style 200" pivot="0" count="2" xr9:uid="{00000000-0011-0000-FFFF-FFFFF0000000}">
      <tableStyleElement type="firstRowStripe" dxfId="1933"/>
      <tableStyleElement type="secondRowStripe" dxfId="1932"/>
    </tableStyle>
    <tableStyle name="PRE FINAL 1.1-style 201" pivot="0" count="2" xr9:uid="{00000000-0011-0000-FFFF-FFFFF1000000}">
      <tableStyleElement type="firstRowStripe" dxfId="1931"/>
      <tableStyleElement type="secondRowStripe" dxfId="1930"/>
    </tableStyle>
    <tableStyle name="PRE FINAL 1.1-style 202" pivot="0" count="2" xr9:uid="{00000000-0011-0000-FFFF-FFFFF2000000}">
      <tableStyleElement type="firstRowStripe" dxfId="1929"/>
      <tableStyleElement type="secondRowStripe" dxfId="1928"/>
    </tableStyle>
    <tableStyle name="PRE FINAL 1.1-style 203" pivot="0" count="2" xr9:uid="{00000000-0011-0000-FFFF-FFFFF3000000}">
      <tableStyleElement type="firstRowStripe" dxfId="1927"/>
      <tableStyleElement type="secondRowStripe" dxfId="1926"/>
    </tableStyle>
    <tableStyle name="PRE FINAL 1.1-style 204" pivot="0" count="2" xr9:uid="{00000000-0011-0000-FFFF-FFFFF4000000}">
      <tableStyleElement type="firstRowStripe" dxfId="1925"/>
      <tableStyleElement type="secondRowStripe" dxfId="1924"/>
    </tableStyle>
    <tableStyle name="PRE FINAL 1.1-style 205" pivot="0" count="2" xr9:uid="{00000000-0011-0000-FFFF-FFFFF5000000}">
      <tableStyleElement type="firstRowStripe" dxfId="1923"/>
      <tableStyleElement type="secondRowStripe" dxfId="1922"/>
    </tableStyle>
    <tableStyle name="PRE FINAL 1.1-style 206" pivot="0" count="2" xr9:uid="{00000000-0011-0000-FFFF-FFFFF6000000}">
      <tableStyleElement type="firstRowStripe" dxfId="1921"/>
      <tableStyleElement type="secondRowStripe" dxfId="1920"/>
    </tableStyle>
    <tableStyle name="PRE FINAL 1.1-style 207" pivot="0" count="2" xr9:uid="{00000000-0011-0000-FFFF-FFFFF7000000}">
      <tableStyleElement type="firstRowStripe" dxfId="1919"/>
      <tableStyleElement type="secondRowStripe" dxfId="1918"/>
    </tableStyle>
    <tableStyle name="PRE FINAL 1.1-style 208" pivot="0" count="2" xr9:uid="{00000000-0011-0000-FFFF-FFFFF8000000}">
      <tableStyleElement type="firstRowStripe" dxfId="1917"/>
      <tableStyleElement type="secondRowStripe" dxfId="1916"/>
    </tableStyle>
    <tableStyle name="PRE FINAL 1.1-style 209" pivot="0" count="2" xr9:uid="{00000000-0011-0000-FFFF-FFFFF9000000}">
      <tableStyleElement type="firstRowStripe" dxfId="1915"/>
      <tableStyleElement type="secondRowStripe" dxfId="1914"/>
    </tableStyle>
    <tableStyle name="PRE FINAL 1.1-style 210" pivot="0" count="2" xr9:uid="{00000000-0011-0000-FFFF-FFFFFA000000}">
      <tableStyleElement type="firstRowStripe" dxfId="1913"/>
      <tableStyleElement type="secondRowStripe" dxfId="1912"/>
    </tableStyle>
    <tableStyle name="PRE FINAL 1.1-style 211" pivot="0" count="2" xr9:uid="{00000000-0011-0000-FFFF-FFFFFB000000}">
      <tableStyleElement type="firstRowStripe" dxfId="1911"/>
      <tableStyleElement type="secondRowStripe" dxfId="1910"/>
    </tableStyle>
    <tableStyle name="PRE FINAL 1.1-style 212" pivot="0" count="2" xr9:uid="{00000000-0011-0000-FFFF-FFFFFC000000}">
      <tableStyleElement type="firstRowStripe" dxfId="1909"/>
      <tableStyleElement type="secondRowStripe" dxfId="1908"/>
    </tableStyle>
    <tableStyle name="PRE FINAL 1.1-style 213" pivot="0" count="2" xr9:uid="{00000000-0011-0000-FFFF-FFFFFD000000}">
      <tableStyleElement type="firstRowStripe" dxfId="1907"/>
      <tableStyleElement type="secondRowStripe" dxfId="1906"/>
    </tableStyle>
    <tableStyle name="PRE FINAL 1.1-style 214" pivot="0" count="2" xr9:uid="{00000000-0011-0000-FFFF-FFFFFE000000}">
      <tableStyleElement type="firstRowStripe" dxfId="1905"/>
      <tableStyleElement type="secondRowStripe" dxfId="1904"/>
    </tableStyle>
    <tableStyle name="PRE FINAL 1.1-style 215" pivot="0" count="2" xr9:uid="{00000000-0011-0000-FFFF-FFFFFF000000}">
      <tableStyleElement type="firstRowStripe" dxfId="1903"/>
      <tableStyleElement type="secondRowStripe" dxfId="1902"/>
    </tableStyle>
    <tableStyle name="PRE FINAL 1.1-style 216" pivot="0" count="2" xr9:uid="{00000000-0011-0000-FFFF-FFFF00010000}">
      <tableStyleElement type="firstRowStripe" dxfId="1901"/>
      <tableStyleElement type="secondRowStripe" dxfId="1900"/>
    </tableStyle>
    <tableStyle name="PRE FINAL 1.1-style 217" pivot="0" count="2" xr9:uid="{00000000-0011-0000-FFFF-FFFF01010000}">
      <tableStyleElement type="firstRowStripe" dxfId="1899"/>
      <tableStyleElement type="secondRowStripe" dxfId="1898"/>
    </tableStyle>
    <tableStyle name="PRE FINAL 1.1-style 218" pivot="0" count="2" xr9:uid="{00000000-0011-0000-FFFF-FFFF02010000}">
      <tableStyleElement type="firstRowStripe" dxfId="1897"/>
      <tableStyleElement type="secondRowStripe" dxfId="1896"/>
    </tableStyle>
    <tableStyle name="PRE FINAL 1.1-style 219" pivot="0" count="2" xr9:uid="{00000000-0011-0000-FFFF-FFFF03010000}">
      <tableStyleElement type="firstRowStripe" dxfId="1895"/>
      <tableStyleElement type="secondRowStripe" dxfId="1894"/>
    </tableStyle>
    <tableStyle name="PRE FINAL 1.1-style 220" pivot="0" count="2" xr9:uid="{00000000-0011-0000-FFFF-FFFF04010000}">
      <tableStyleElement type="firstRowStripe" dxfId="1893"/>
      <tableStyleElement type="secondRowStripe" dxfId="1892"/>
    </tableStyle>
    <tableStyle name="PRE FINAL 1.1-style 221" pivot="0" count="2" xr9:uid="{00000000-0011-0000-FFFF-FFFF05010000}">
      <tableStyleElement type="firstRowStripe" dxfId="1891"/>
      <tableStyleElement type="secondRowStripe" dxfId="1890"/>
    </tableStyle>
    <tableStyle name="PRE FINAL 1.1-style 222" pivot="0" count="2" xr9:uid="{00000000-0011-0000-FFFF-FFFF06010000}">
      <tableStyleElement type="firstRowStripe" dxfId="1889"/>
      <tableStyleElement type="secondRowStripe" dxfId="1888"/>
    </tableStyle>
    <tableStyle name="PRE FINAL 1.1-style 223" pivot="0" count="2" xr9:uid="{00000000-0011-0000-FFFF-FFFF07010000}">
      <tableStyleElement type="firstRowStripe" dxfId="1887"/>
      <tableStyleElement type="secondRowStripe" dxfId="1886"/>
    </tableStyle>
    <tableStyle name="PRE FINAL 1.1-style 224" pivot="0" count="2" xr9:uid="{00000000-0011-0000-FFFF-FFFF08010000}">
      <tableStyleElement type="firstRowStripe" dxfId="1885"/>
      <tableStyleElement type="secondRowStripe" dxfId="1884"/>
    </tableStyle>
    <tableStyle name="PRE FINAL 1.1-style 225" pivot="0" count="2" xr9:uid="{00000000-0011-0000-FFFF-FFFF09010000}">
      <tableStyleElement type="firstRowStripe" dxfId="1883"/>
      <tableStyleElement type="secondRowStripe" dxfId="1882"/>
    </tableStyle>
    <tableStyle name="PRE FINAL 1.1-style 226" pivot="0" count="2" xr9:uid="{00000000-0011-0000-FFFF-FFFF0A010000}">
      <tableStyleElement type="firstRowStripe" dxfId="1881"/>
      <tableStyleElement type="secondRowStripe" dxfId="1880"/>
    </tableStyle>
    <tableStyle name="PRE FINAL 1.1-style 227" pivot="0" count="2" xr9:uid="{00000000-0011-0000-FFFF-FFFF0B010000}">
      <tableStyleElement type="firstRowStripe" dxfId="1879"/>
      <tableStyleElement type="secondRowStripe" dxfId="1878"/>
    </tableStyle>
    <tableStyle name="PRE FINAL 1.1-style 228" pivot="0" count="2" xr9:uid="{00000000-0011-0000-FFFF-FFFF0C010000}">
      <tableStyleElement type="firstRowStripe" dxfId="1877"/>
      <tableStyleElement type="secondRowStripe" dxfId="1876"/>
    </tableStyle>
    <tableStyle name="PRE FINAL 1.1-style 229" pivot="0" count="2" xr9:uid="{00000000-0011-0000-FFFF-FFFF0D010000}">
      <tableStyleElement type="firstRowStripe" dxfId="1875"/>
      <tableStyleElement type="secondRowStripe" dxfId="1874"/>
    </tableStyle>
    <tableStyle name="PRE FINAL 1.1-style 230" pivot="0" count="2" xr9:uid="{00000000-0011-0000-FFFF-FFFF0E010000}">
      <tableStyleElement type="firstRowStripe" dxfId="1873"/>
      <tableStyleElement type="secondRowStripe" dxfId="1872"/>
    </tableStyle>
    <tableStyle name="PRE FINAL 1.1-style 231" pivot="0" count="2" xr9:uid="{00000000-0011-0000-FFFF-FFFF0F010000}">
      <tableStyleElement type="firstRowStripe" dxfId="1871"/>
      <tableStyleElement type="secondRowStripe" dxfId="1870"/>
    </tableStyle>
    <tableStyle name="PRE FINAL 1.1-style 232" pivot="0" count="2" xr9:uid="{00000000-0011-0000-FFFF-FFFF10010000}">
      <tableStyleElement type="firstRowStripe" dxfId="1869"/>
      <tableStyleElement type="secondRowStripe" dxfId="1868"/>
    </tableStyle>
    <tableStyle name="PRE FINAL 1.1-style 233" pivot="0" count="2" xr9:uid="{00000000-0011-0000-FFFF-FFFF11010000}">
      <tableStyleElement type="firstRowStripe" dxfId="1867"/>
      <tableStyleElement type="secondRowStripe" dxfId="1866"/>
    </tableStyle>
    <tableStyle name="PRE FINAL 1.1-style 234" pivot="0" count="2" xr9:uid="{00000000-0011-0000-FFFF-FFFF12010000}">
      <tableStyleElement type="firstRowStripe" dxfId="1865"/>
      <tableStyleElement type="secondRowStripe" dxfId="1864"/>
    </tableStyle>
    <tableStyle name="PRE FINAL 1.1-style 235" pivot="0" count="2" xr9:uid="{00000000-0011-0000-FFFF-FFFF13010000}">
      <tableStyleElement type="firstRowStripe" dxfId="1863"/>
      <tableStyleElement type="secondRowStripe" dxfId="1862"/>
    </tableStyle>
    <tableStyle name="PRE FINAL 1.1-style 236" pivot="0" count="2" xr9:uid="{00000000-0011-0000-FFFF-FFFF14010000}">
      <tableStyleElement type="firstRowStripe" dxfId="1861"/>
      <tableStyleElement type="secondRowStripe" dxfId="1860"/>
    </tableStyle>
    <tableStyle name="PRE FINAL 1.1-style 237" pivot="0" count="2" xr9:uid="{00000000-0011-0000-FFFF-FFFF15010000}">
      <tableStyleElement type="firstRowStripe" dxfId="1859"/>
      <tableStyleElement type="secondRowStripe" dxfId="1858"/>
    </tableStyle>
    <tableStyle name="PRE FINAL 1.1-style 238" pivot="0" count="2" xr9:uid="{00000000-0011-0000-FFFF-FFFF16010000}">
      <tableStyleElement type="firstRowStripe" dxfId="1857"/>
      <tableStyleElement type="secondRowStripe" dxfId="1856"/>
    </tableStyle>
    <tableStyle name="PRE FINAL 1.1-style 239" pivot="0" count="2" xr9:uid="{00000000-0011-0000-FFFF-FFFF17010000}">
      <tableStyleElement type="firstRowStripe" dxfId="1855"/>
      <tableStyleElement type="secondRowStripe" dxfId="1854"/>
    </tableStyle>
    <tableStyle name="PRE FINAL 1.1-style 240" pivot="0" count="2" xr9:uid="{00000000-0011-0000-FFFF-FFFF18010000}">
      <tableStyleElement type="firstRowStripe" dxfId="1853"/>
      <tableStyleElement type="secondRowStripe" dxfId="1852"/>
    </tableStyle>
    <tableStyle name="PRE FINAL 1.1-style 241" pivot="0" count="2" xr9:uid="{00000000-0011-0000-FFFF-FFFF19010000}">
      <tableStyleElement type="firstRowStripe" dxfId="1851"/>
      <tableStyleElement type="secondRowStripe" dxfId="1850"/>
    </tableStyle>
    <tableStyle name="PRE FINAL 1.1-style 242" pivot="0" count="2" xr9:uid="{00000000-0011-0000-FFFF-FFFF1A010000}">
      <tableStyleElement type="firstRowStripe" dxfId="1849"/>
      <tableStyleElement type="secondRowStripe" dxfId="1848"/>
    </tableStyle>
    <tableStyle name="PRE FINAL 1.1-style 243" pivot="0" count="2" xr9:uid="{00000000-0011-0000-FFFF-FFFF1B010000}">
      <tableStyleElement type="firstRowStripe" dxfId="1847"/>
      <tableStyleElement type="secondRowStripe" dxfId="1846"/>
    </tableStyle>
    <tableStyle name="PRE FINAL 1.1-style 244" pivot="0" count="2" xr9:uid="{00000000-0011-0000-FFFF-FFFF1C010000}">
      <tableStyleElement type="firstRowStripe" dxfId="1845"/>
      <tableStyleElement type="secondRowStripe" dxfId="1844"/>
    </tableStyle>
    <tableStyle name="PRE FINAL 1.1-style 245" pivot="0" count="2" xr9:uid="{00000000-0011-0000-FFFF-FFFF1D010000}">
      <tableStyleElement type="firstRowStripe" dxfId="1843"/>
      <tableStyleElement type="secondRowStripe" dxfId="1842"/>
    </tableStyle>
    <tableStyle name="PRE FINAL 1.1-style 246" pivot="0" count="2" xr9:uid="{00000000-0011-0000-FFFF-FFFF1E010000}">
      <tableStyleElement type="firstRowStripe" dxfId="1841"/>
      <tableStyleElement type="secondRowStripe" dxfId="1840"/>
    </tableStyle>
    <tableStyle name="PRE FINAL 1.1-style 247" pivot="0" count="2" xr9:uid="{00000000-0011-0000-FFFF-FFFF1F010000}">
      <tableStyleElement type="firstRowStripe" dxfId="1839"/>
      <tableStyleElement type="secondRowStripe" dxfId="1838"/>
    </tableStyle>
    <tableStyle name="PRE FINAL 1.1-style 248" pivot="0" count="2" xr9:uid="{00000000-0011-0000-FFFF-FFFF20010000}">
      <tableStyleElement type="firstRowStripe" dxfId="1837"/>
      <tableStyleElement type="secondRowStripe" dxfId="1836"/>
    </tableStyle>
    <tableStyle name="PRE FINAL 1.1-style 249" pivot="0" count="2" xr9:uid="{00000000-0011-0000-FFFF-FFFF21010000}">
      <tableStyleElement type="firstRowStripe" dxfId="1835"/>
      <tableStyleElement type="secondRowStripe" dxfId="1834"/>
    </tableStyle>
    <tableStyle name="PRE FINAL 1.1-style 250" pivot="0" count="2" xr9:uid="{00000000-0011-0000-FFFF-FFFF22010000}">
      <tableStyleElement type="firstRowStripe" dxfId="1833"/>
      <tableStyleElement type="secondRowStripe" dxfId="1832"/>
    </tableStyle>
    <tableStyle name="PRE FINAL 1.1-style 251" pivot="0" count="2" xr9:uid="{00000000-0011-0000-FFFF-FFFF23010000}">
      <tableStyleElement type="firstRowStripe" dxfId="1831"/>
      <tableStyleElement type="secondRowStripe" dxfId="1830"/>
    </tableStyle>
    <tableStyle name="PRE FINAL 1.1-style 252" pivot="0" count="2" xr9:uid="{00000000-0011-0000-FFFF-FFFF24010000}">
      <tableStyleElement type="firstRowStripe" dxfId="1829"/>
      <tableStyleElement type="secondRowStripe" dxfId="1828"/>
    </tableStyle>
    <tableStyle name="PRE FINAL 1.1-style 253" pivot="0" count="2" xr9:uid="{00000000-0011-0000-FFFF-FFFF25010000}">
      <tableStyleElement type="firstRowStripe" dxfId="1827"/>
      <tableStyleElement type="secondRowStripe" dxfId="1826"/>
    </tableStyle>
    <tableStyle name="PRE FINAL 1.1-style 254" pivot="0" count="2" xr9:uid="{00000000-0011-0000-FFFF-FFFF26010000}">
      <tableStyleElement type="firstRowStripe" dxfId="1825"/>
      <tableStyleElement type="secondRowStripe" dxfId="1824"/>
    </tableStyle>
    <tableStyle name="PRE FINAL 1.1-style 255" pivot="0" count="2" xr9:uid="{00000000-0011-0000-FFFF-FFFF27010000}">
      <tableStyleElement type="firstRowStripe" dxfId="1823"/>
      <tableStyleElement type="secondRowStripe" dxfId="1822"/>
    </tableStyle>
    <tableStyle name="Copy PRE FINAL 1.1-style" pivot="0" count="4" xr9:uid="{00000000-0011-0000-FFFF-FFFF28010000}">
      <tableStyleElement type="wholeTable" size="0" dxfId="1821"/>
      <tableStyleElement type="headerRow" dxfId="1820"/>
      <tableStyleElement type="firstRowStripe" dxfId="1819"/>
      <tableStyleElement type="secondRowStripe" dxfId="1818"/>
    </tableStyle>
    <tableStyle name="Copy PRE FINAL 1.1-style 2" pivot="0" count="2" xr9:uid="{00000000-0011-0000-FFFF-FFFF29010000}">
      <tableStyleElement type="firstRowStripe" dxfId="1817"/>
      <tableStyleElement type="secondRowStripe" dxfId="1816"/>
    </tableStyle>
    <tableStyle name="Copy PRE FINAL 1.1-style 3" pivot="0" count="2" xr9:uid="{00000000-0011-0000-FFFF-FFFF2A010000}">
      <tableStyleElement type="firstRowStripe" dxfId="1815"/>
      <tableStyleElement type="secondRowStripe" dxfId="1814"/>
    </tableStyle>
    <tableStyle name="Copy PRE FINAL 1.1-style 4" pivot="0" count="2" xr9:uid="{00000000-0011-0000-FFFF-FFFF2B010000}">
      <tableStyleElement type="firstRowStripe" dxfId="1813"/>
      <tableStyleElement type="secondRowStripe" dxfId="1812"/>
    </tableStyle>
    <tableStyle name="Copy PRE FINAL 1.1-style 5" pivot="0" count="2" xr9:uid="{00000000-0011-0000-FFFF-FFFF2C010000}">
      <tableStyleElement type="firstRowStripe" dxfId="1811"/>
      <tableStyleElement type="secondRowStripe" dxfId="1810"/>
    </tableStyle>
    <tableStyle name="Copy PRE FINAL 1.1-style 6" pivot="0" count="2" xr9:uid="{00000000-0011-0000-FFFF-FFFF2D010000}">
      <tableStyleElement type="firstRowStripe" dxfId="1809"/>
      <tableStyleElement type="secondRowStripe" dxfId="1808"/>
    </tableStyle>
    <tableStyle name="Copy PRE FINAL 1.1-style 7" pivot="0" count="2" xr9:uid="{00000000-0011-0000-FFFF-FFFF2E010000}">
      <tableStyleElement type="firstRowStripe" dxfId="1807"/>
      <tableStyleElement type="secondRowStripe" dxfId="1806"/>
    </tableStyle>
    <tableStyle name="Copy PRE FINAL 1.1-style 8" pivot="0" count="2" xr9:uid="{00000000-0011-0000-FFFF-FFFF2F010000}">
      <tableStyleElement type="firstRowStripe" dxfId="1805"/>
      <tableStyleElement type="secondRowStripe" dxfId="1804"/>
    </tableStyle>
    <tableStyle name="Copy PRE FINAL 1.1-style 9" pivot="0" count="2" xr9:uid="{00000000-0011-0000-FFFF-FFFF30010000}">
      <tableStyleElement type="firstRowStripe" dxfId="1803"/>
      <tableStyleElement type="secondRowStripe" dxfId="1802"/>
    </tableStyle>
    <tableStyle name="Copy PRE FINAL 1.1-style 10" pivot="0" count="2" xr9:uid="{00000000-0011-0000-FFFF-FFFF31010000}">
      <tableStyleElement type="firstRowStripe" dxfId="1801"/>
      <tableStyleElement type="secondRowStripe" dxfId="1800"/>
    </tableStyle>
    <tableStyle name="Copy PRE FINAL 1.1-style 11" pivot="0" count="2" xr9:uid="{00000000-0011-0000-FFFF-FFFF32010000}">
      <tableStyleElement type="firstRowStripe" dxfId="1799"/>
      <tableStyleElement type="secondRowStripe" dxfId="1798"/>
    </tableStyle>
    <tableStyle name="Copy PRE FINAL 1.1-style 12" pivot="0" count="2" xr9:uid="{00000000-0011-0000-FFFF-FFFF33010000}">
      <tableStyleElement type="firstRowStripe" dxfId="1797"/>
      <tableStyleElement type="secondRowStripe" dxfId="1796"/>
    </tableStyle>
    <tableStyle name="Copy PRE FINAL 1.1-style 13" pivot="0" count="2" xr9:uid="{00000000-0011-0000-FFFF-FFFF34010000}">
      <tableStyleElement type="firstRowStripe" dxfId="1795"/>
      <tableStyleElement type="secondRowStripe" dxfId="1794"/>
    </tableStyle>
    <tableStyle name="Copy PRE FINAL 1.1-style 14" pivot="0" count="2" xr9:uid="{00000000-0011-0000-FFFF-FFFF35010000}">
      <tableStyleElement type="firstRowStripe" dxfId="1793"/>
      <tableStyleElement type="secondRowStripe" dxfId="1792"/>
    </tableStyle>
    <tableStyle name="Copy PRE FINAL 1.1-style 15" pivot="0" count="2" xr9:uid="{00000000-0011-0000-FFFF-FFFF36010000}">
      <tableStyleElement type="firstRowStripe" dxfId="1791"/>
      <tableStyleElement type="secondRowStripe" dxfId="1790"/>
    </tableStyle>
    <tableStyle name="Copy PRE FINAL 1.1-style 16" pivot="0" count="2" xr9:uid="{00000000-0011-0000-FFFF-FFFF37010000}">
      <tableStyleElement type="firstRowStripe" dxfId="1789"/>
      <tableStyleElement type="secondRowStripe" dxfId="1788"/>
    </tableStyle>
    <tableStyle name="Copy PRE FINAL 1.1-style 17" pivot="0" count="2" xr9:uid="{00000000-0011-0000-FFFF-FFFF38010000}">
      <tableStyleElement type="firstRowStripe" dxfId="1787"/>
      <tableStyleElement type="secondRowStripe" dxfId="1786"/>
    </tableStyle>
    <tableStyle name="Copy PRE FINAL 1.1-style 18" pivot="0" count="2" xr9:uid="{00000000-0011-0000-FFFF-FFFF39010000}">
      <tableStyleElement type="firstRowStripe" dxfId="1785"/>
      <tableStyleElement type="secondRowStripe" dxfId="1784"/>
    </tableStyle>
    <tableStyle name="Copy PRE FINAL 1.1-style 19" pivot="0" count="2" xr9:uid="{00000000-0011-0000-FFFF-FFFF3A010000}">
      <tableStyleElement type="firstRowStripe" dxfId="1783"/>
      <tableStyleElement type="secondRowStripe" dxfId="1782"/>
    </tableStyle>
    <tableStyle name="Copy PRE FINAL 1.1-style 20" pivot="0" count="2" xr9:uid="{00000000-0011-0000-FFFF-FFFF3B010000}">
      <tableStyleElement type="firstRowStripe" dxfId="1781"/>
      <tableStyleElement type="secondRowStripe" dxfId="1780"/>
    </tableStyle>
    <tableStyle name="Copy PRE FINAL 1.1-style 21" pivot="0" count="2" xr9:uid="{00000000-0011-0000-FFFF-FFFF3C010000}">
      <tableStyleElement type="firstRowStripe" dxfId="1779"/>
      <tableStyleElement type="secondRowStripe" dxfId="1778"/>
    </tableStyle>
    <tableStyle name="Copy PRE FINAL 1.1-style 22" pivot="0" count="2" xr9:uid="{00000000-0011-0000-FFFF-FFFF3D010000}">
      <tableStyleElement type="firstRowStripe" dxfId="1777"/>
      <tableStyleElement type="secondRowStripe" dxfId="1776"/>
    </tableStyle>
    <tableStyle name="Copy PRE FINAL 1.1-style 23" pivot="0" count="2" xr9:uid="{00000000-0011-0000-FFFF-FFFF3E010000}">
      <tableStyleElement type="firstRowStripe" dxfId="1775"/>
      <tableStyleElement type="secondRowStripe" dxfId="1774"/>
    </tableStyle>
    <tableStyle name="Copy PRE FINAL 1.1-style 24" pivot="0" count="2" xr9:uid="{00000000-0011-0000-FFFF-FFFF3F010000}">
      <tableStyleElement type="firstRowStripe" dxfId="1773"/>
      <tableStyleElement type="secondRowStripe" dxfId="1772"/>
    </tableStyle>
    <tableStyle name="Copy PRE FINAL 1.1-style 25" pivot="0" count="2" xr9:uid="{00000000-0011-0000-FFFF-FFFF40010000}">
      <tableStyleElement type="firstRowStripe" dxfId="1771"/>
      <tableStyleElement type="secondRowStripe" dxfId="1770"/>
    </tableStyle>
    <tableStyle name="Copy PRE FINAL 1.1-style 26" pivot="0" count="2" xr9:uid="{00000000-0011-0000-FFFF-FFFF41010000}">
      <tableStyleElement type="firstRowStripe" dxfId="1769"/>
      <tableStyleElement type="secondRowStripe" dxfId="1768"/>
    </tableStyle>
    <tableStyle name="Copy PRE FINAL 1.1-style 27" pivot="0" count="2" xr9:uid="{00000000-0011-0000-FFFF-FFFF42010000}">
      <tableStyleElement type="firstRowStripe" dxfId="1767"/>
      <tableStyleElement type="secondRowStripe" dxfId="1766"/>
    </tableStyle>
    <tableStyle name="Copy PRE FINAL 1.1-style 28" pivot="0" count="2" xr9:uid="{00000000-0011-0000-FFFF-FFFF43010000}">
      <tableStyleElement type="firstRowStripe" dxfId="1765"/>
      <tableStyleElement type="secondRowStripe" dxfId="1764"/>
    </tableStyle>
    <tableStyle name="Copy PRE FINAL 1.1-style 29" pivot="0" count="2" xr9:uid="{00000000-0011-0000-FFFF-FFFF44010000}">
      <tableStyleElement type="firstRowStripe" dxfId="1763"/>
      <tableStyleElement type="secondRowStripe" dxfId="1762"/>
    </tableStyle>
    <tableStyle name="Copy PRE FINAL 1.1-style 30" pivot="0" count="2" xr9:uid="{00000000-0011-0000-FFFF-FFFF45010000}">
      <tableStyleElement type="firstRowStripe" dxfId="1761"/>
      <tableStyleElement type="secondRowStripe" dxfId="1760"/>
    </tableStyle>
    <tableStyle name="Copy PRE FINAL 1.1-style 31" pivot="0" count="2" xr9:uid="{00000000-0011-0000-FFFF-FFFF46010000}">
      <tableStyleElement type="firstRowStripe" dxfId="1759"/>
      <tableStyleElement type="secondRowStripe" dxfId="1758"/>
    </tableStyle>
    <tableStyle name="Copy PRE FINAL 1.1-style 32" pivot="0" count="2" xr9:uid="{00000000-0011-0000-FFFF-FFFF47010000}">
      <tableStyleElement type="firstRowStripe" dxfId="1757"/>
      <tableStyleElement type="secondRowStripe" dxfId="1756"/>
    </tableStyle>
    <tableStyle name="Copy PRE FINAL 1.1-style 33" pivot="0" count="2" xr9:uid="{00000000-0011-0000-FFFF-FFFF48010000}">
      <tableStyleElement type="firstRowStripe" dxfId="1755"/>
      <tableStyleElement type="secondRowStripe" dxfId="1754"/>
    </tableStyle>
    <tableStyle name="Copy PRE FINAL 1.1-style 34" pivot="0" count="2" xr9:uid="{00000000-0011-0000-FFFF-FFFF49010000}">
      <tableStyleElement type="firstRowStripe" dxfId="1753"/>
      <tableStyleElement type="secondRowStripe" dxfId="1752"/>
    </tableStyle>
    <tableStyle name="Copy PRE FINAL 1.1-style 35" pivot="0" count="2" xr9:uid="{00000000-0011-0000-FFFF-FFFF4A010000}">
      <tableStyleElement type="firstRowStripe" dxfId="1751"/>
      <tableStyleElement type="secondRowStripe" dxfId="1750"/>
    </tableStyle>
    <tableStyle name="Copy PRE FINAL 1.1-style 36" pivot="0" count="2" xr9:uid="{00000000-0011-0000-FFFF-FFFF4B010000}">
      <tableStyleElement type="firstRowStripe" dxfId="1749"/>
      <tableStyleElement type="secondRowStripe" dxfId="1748"/>
    </tableStyle>
    <tableStyle name="Copy PRE FINAL 1.1-style 37" pivot="0" count="2" xr9:uid="{00000000-0011-0000-FFFF-FFFF4C010000}">
      <tableStyleElement type="firstRowStripe" dxfId="1747"/>
      <tableStyleElement type="secondRowStripe" dxfId="1746"/>
    </tableStyle>
    <tableStyle name="Copy PRE FINAL 1.1-style 38" pivot="0" count="2" xr9:uid="{00000000-0011-0000-FFFF-FFFF4D010000}">
      <tableStyleElement type="firstRowStripe" dxfId="1745"/>
      <tableStyleElement type="secondRowStripe" dxfId="1744"/>
    </tableStyle>
    <tableStyle name="Copy PRE FINAL 1.1-style 39" pivot="0" count="2" xr9:uid="{00000000-0011-0000-FFFF-FFFF4E010000}">
      <tableStyleElement type="firstRowStripe" dxfId="1743"/>
      <tableStyleElement type="secondRowStripe" dxfId="1742"/>
    </tableStyle>
    <tableStyle name="Copy PRE FINAL 1.1-style 40" pivot="0" count="2" xr9:uid="{00000000-0011-0000-FFFF-FFFF4F010000}">
      <tableStyleElement type="firstRowStripe" dxfId="1741"/>
      <tableStyleElement type="secondRowStripe" dxfId="1740"/>
    </tableStyle>
    <tableStyle name="Copy PRE FINAL 1.1-style 41" pivot="0" count="2" xr9:uid="{00000000-0011-0000-FFFF-FFFF50010000}">
      <tableStyleElement type="firstRowStripe" dxfId="1739"/>
      <tableStyleElement type="secondRowStripe" dxfId="1738"/>
    </tableStyle>
    <tableStyle name="Copy PRE FINAL 1.1-style 42" pivot="0" count="2" xr9:uid="{00000000-0011-0000-FFFF-FFFF51010000}">
      <tableStyleElement type="firstRowStripe" dxfId="1737"/>
      <tableStyleElement type="secondRowStripe" dxfId="1736"/>
    </tableStyle>
    <tableStyle name="Copy PRE FINAL 1.1-style 43" pivot="0" count="2" xr9:uid="{00000000-0011-0000-FFFF-FFFF52010000}">
      <tableStyleElement type="firstRowStripe" dxfId="1735"/>
      <tableStyleElement type="secondRowStripe" dxfId="1734"/>
    </tableStyle>
    <tableStyle name="Copy PRE FINAL 1.1-style 44" pivot="0" count="2" xr9:uid="{00000000-0011-0000-FFFF-FFFF53010000}">
      <tableStyleElement type="firstRowStripe" dxfId="1733"/>
      <tableStyleElement type="secondRowStripe" dxfId="1732"/>
    </tableStyle>
    <tableStyle name="Copy PRE FINAL 1.1-style 45" pivot="0" count="2" xr9:uid="{00000000-0011-0000-FFFF-FFFF54010000}">
      <tableStyleElement type="firstRowStripe" dxfId="1731"/>
      <tableStyleElement type="secondRowStripe" dxfId="1730"/>
    </tableStyle>
    <tableStyle name="Copy PRE FINAL 1.1-style 46" pivot="0" count="2" xr9:uid="{00000000-0011-0000-FFFF-FFFF55010000}">
      <tableStyleElement type="firstRowStripe" dxfId="1729"/>
      <tableStyleElement type="secondRowStripe" dxfId="1728"/>
    </tableStyle>
    <tableStyle name="Copy PRE FINAL 1.1-style 47" pivot="0" count="2" xr9:uid="{00000000-0011-0000-FFFF-FFFF56010000}">
      <tableStyleElement type="firstRowStripe" dxfId="1727"/>
      <tableStyleElement type="secondRowStripe" dxfId="1726"/>
    </tableStyle>
    <tableStyle name="Copy PRE FINAL 1.1-style 48" pivot="0" count="2" xr9:uid="{00000000-0011-0000-FFFF-FFFF57010000}">
      <tableStyleElement type="firstRowStripe" dxfId="1725"/>
      <tableStyleElement type="secondRowStripe" dxfId="1724"/>
    </tableStyle>
    <tableStyle name="Copy PRE FINAL 1.1-style 49" pivot="0" count="2" xr9:uid="{00000000-0011-0000-FFFF-FFFF58010000}">
      <tableStyleElement type="firstRowStripe" dxfId="1723"/>
      <tableStyleElement type="secondRowStripe" dxfId="1722"/>
    </tableStyle>
    <tableStyle name="Copy PRE FINAL 1.1-style 50" pivot="0" count="2" xr9:uid="{00000000-0011-0000-FFFF-FFFF59010000}">
      <tableStyleElement type="firstRowStripe" dxfId="1721"/>
      <tableStyleElement type="secondRowStripe" dxfId="1720"/>
    </tableStyle>
    <tableStyle name="Copy PRE FINAL 1.1-style 51" pivot="0" count="2" xr9:uid="{00000000-0011-0000-FFFF-FFFF5A010000}">
      <tableStyleElement type="firstRowStripe" dxfId="1719"/>
      <tableStyleElement type="secondRowStripe" dxfId="1718"/>
    </tableStyle>
    <tableStyle name="Copy PRE FINAL 1.1-style 52" pivot="0" count="2" xr9:uid="{00000000-0011-0000-FFFF-FFFF5B010000}">
      <tableStyleElement type="firstRowStripe" dxfId="1717"/>
      <tableStyleElement type="secondRowStripe" dxfId="1716"/>
    </tableStyle>
    <tableStyle name="Copy PRE FINAL 1.1-style 53" pivot="0" count="2" xr9:uid="{00000000-0011-0000-FFFF-FFFF5C010000}">
      <tableStyleElement type="firstRowStripe" dxfId="1715"/>
      <tableStyleElement type="secondRowStripe" dxfId="1714"/>
    </tableStyle>
    <tableStyle name="Copy PRE FINAL 1.1-style 54" pivot="0" count="2" xr9:uid="{00000000-0011-0000-FFFF-FFFF5D010000}">
      <tableStyleElement type="firstRowStripe" dxfId="1713"/>
      <tableStyleElement type="secondRowStripe" dxfId="1712"/>
    </tableStyle>
    <tableStyle name="Copy PRE FINAL 1.1-style 55" pivot="0" count="2" xr9:uid="{00000000-0011-0000-FFFF-FFFF5E010000}">
      <tableStyleElement type="firstRowStripe" dxfId="1711"/>
      <tableStyleElement type="secondRowStripe" dxfId="1710"/>
    </tableStyle>
    <tableStyle name="Copy PRE FINAL 1.1-style 56" pivot="0" count="2" xr9:uid="{00000000-0011-0000-FFFF-FFFF5F010000}">
      <tableStyleElement type="firstRowStripe" dxfId="1709"/>
      <tableStyleElement type="secondRowStripe" dxfId="1708"/>
    </tableStyle>
    <tableStyle name="Copy PRE FINAL 1.1-style 57" pivot="0" count="2" xr9:uid="{00000000-0011-0000-FFFF-FFFF60010000}">
      <tableStyleElement type="firstRowStripe" dxfId="1707"/>
      <tableStyleElement type="secondRowStripe" dxfId="1706"/>
    </tableStyle>
    <tableStyle name="Copy PRE FINAL 1.1-style 58" pivot="0" count="2" xr9:uid="{00000000-0011-0000-FFFF-FFFF61010000}">
      <tableStyleElement type="firstRowStripe" dxfId="1705"/>
      <tableStyleElement type="secondRowStripe" dxfId="1704"/>
    </tableStyle>
    <tableStyle name="Copy PRE FINAL 1.1-style 59" pivot="0" count="2" xr9:uid="{00000000-0011-0000-FFFF-FFFF62010000}">
      <tableStyleElement type="firstRowStripe" dxfId="1703"/>
      <tableStyleElement type="secondRowStripe" dxfId="1702"/>
    </tableStyle>
    <tableStyle name="Copy PRE FINAL 1.1-style 60" pivot="0" count="2" xr9:uid="{00000000-0011-0000-FFFF-FFFF63010000}">
      <tableStyleElement type="firstRowStripe" dxfId="1701"/>
      <tableStyleElement type="secondRowStripe" dxfId="1700"/>
    </tableStyle>
    <tableStyle name="Copy PRE FINAL 1.1-style 61" pivot="0" count="2" xr9:uid="{00000000-0011-0000-FFFF-FFFF64010000}">
      <tableStyleElement type="firstRowStripe" dxfId="1699"/>
      <tableStyleElement type="secondRowStripe" dxfId="1698"/>
    </tableStyle>
    <tableStyle name="Copy PRE FINAL 1.1-style 62" pivot="0" count="2" xr9:uid="{00000000-0011-0000-FFFF-FFFF65010000}">
      <tableStyleElement type="firstRowStripe" dxfId="1697"/>
      <tableStyleElement type="secondRowStripe" dxfId="1696"/>
    </tableStyle>
    <tableStyle name="Copy PRE FINAL 1.1-style 63" pivot="0" count="2" xr9:uid="{00000000-0011-0000-FFFF-FFFF66010000}">
      <tableStyleElement type="firstRowStripe" dxfId="1695"/>
      <tableStyleElement type="secondRowStripe" dxfId="1694"/>
    </tableStyle>
    <tableStyle name="Copy PRE FINAL 1.1-style 64" pivot="0" count="2" xr9:uid="{00000000-0011-0000-FFFF-FFFF67010000}">
      <tableStyleElement type="firstRowStripe" dxfId="1693"/>
      <tableStyleElement type="secondRowStripe" dxfId="1692"/>
    </tableStyle>
    <tableStyle name="Copy PRE FINAL 1.1-style 65" pivot="0" count="2" xr9:uid="{00000000-0011-0000-FFFF-FFFF68010000}">
      <tableStyleElement type="firstRowStripe" dxfId="1691"/>
      <tableStyleElement type="secondRowStripe" dxfId="1690"/>
    </tableStyle>
    <tableStyle name="Copy PRE FINAL 1.1-style 66" pivot="0" count="2" xr9:uid="{00000000-0011-0000-FFFF-FFFF69010000}">
      <tableStyleElement type="firstRowStripe" dxfId="1689"/>
      <tableStyleElement type="secondRowStripe" dxfId="1688"/>
    </tableStyle>
    <tableStyle name="Copy PRE FINAL 1.1-style 67" pivot="0" count="2" xr9:uid="{00000000-0011-0000-FFFF-FFFF6A010000}">
      <tableStyleElement type="firstRowStripe" dxfId="1687"/>
      <tableStyleElement type="secondRowStripe" dxfId="1686"/>
    </tableStyle>
    <tableStyle name="Copy PRE FINAL 1.1-style 68" pivot="0" count="2" xr9:uid="{00000000-0011-0000-FFFF-FFFF6B010000}">
      <tableStyleElement type="firstRowStripe" dxfId="1685"/>
      <tableStyleElement type="secondRowStripe" dxfId="1684"/>
    </tableStyle>
    <tableStyle name="Copy PRE FINAL 1.1-style 69" pivot="0" count="2" xr9:uid="{00000000-0011-0000-FFFF-FFFF6C010000}">
      <tableStyleElement type="firstRowStripe" dxfId="1683"/>
      <tableStyleElement type="secondRowStripe" dxfId="1682"/>
    </tableStyle>
    <tableStyle name="Copy PRE FINAL 1.1-style 70" pivot="0" count="2" xr9:uid="{00000000-0011-0000-FFFF-FFFF6D010000}">
      <tableStyleElement type="firstRowStripe" dxfId="1681"/>
      <tableStyleElement type="secondRowStripe" dxfId="1680"/>
    </tableStyle>
    <tableStyle name="Copy PRE FINAL 1.1-style 71" pivot="0" count="2" xr9:uid="{00000000-0011-0000-FFFF-FFFF6E010000}">
      <tableStyleElement type="firstRowStripe" dxfId="1679"/>
      <tableStyleElement type="secondRowStripe" dxfId="1678"/>
    </tableStyle>
    <tableStyle name="Copy PRE FINAL 1.1-style 72" pivot="0" count="2" xr9:uid="{00000000-0011-0000-FFFF-FFFF6F010000}">
      <tableStyleElement type="firstRowStripe" dxfId="1677"/>
      <tableStyleElement type="secondRowStripe" dxfId="1676"/>
    </tableStyle>
    <tableStyle name="Copy PRE FINAL 1.1-style 73" pivot="0" count="2" xr9:uid="{00000000-0011-0000-FFFF-FFFF70010000}">
      <tableStyleElement type="firstRowStripe" dxfId="1675"/>
      <tableStyleElement type="secondRowStripe" dxfId="1674"/>
    </tableStyle>
    <tableStyle name="Copy PRE FINAL 1.1-style 74" pivot="0" count="2" xr9:uid="{00000000-0011-0000-FFFF-FFFF71010000}">
      <tableStyleElement type="firstRowStripe" dxfId="1673"/>
      <tableStyleElement type="secondRowStripe" dxfId="1672"/>
    </tableStyle>
    <tableStyle name="Copy PRE FINAL 1.1-style 75" pivot="0" count="2" xr9:uid="{00000000-0011-0000-FFFF-FFFF72010000}">
      <tableStyleElement type="firstRowStripe" dxfId="1671"/>
      <tableStyleElement type="secondRowStripe" dxfId="1670"/>
    </tableStyle>
    <tableStyle name="Copy PRE FINAL 1.1-style 76" pivot="0" count="2" xr9:uid="{00000000-0011-0000-FFFF-FFFF73010000}">
      <tableStyleElement type="firstRowStripe" dxfId="1669"/>
      <tableStyleElement type="secondRowStripe" dxfId="1668"/>
    </tableStyle>
    <tableStyle name="Copy PRE FINAL 1.1-style 77" pivot="0" count="2" xr9:uid="{00000000-0011-0000-FFFF-FFFF74010000}">
      <tableStyleElement type="firstRowStripe" dxfId="1667"/>
      <tableStyleElement type="secondRowStripe" dxfId="1666"/>
    </tableStyle>
    <tableStyle name="Copy PRE FINAL 1.1-style 78" pivot="0" count="2" xr9:uid="{00000000-0011-0000-FFFF-FFFF75010000}">
      <tableStyleElement type="firstRowStripe" dxfId="1665"/>
      <tableStyleElement type="secondRowStripe" dxfId="1664"/>
    </tableStyle>
    <tableStyle name="Copy PRE FINAL 1.1-style 79" pivot="0" count="2" xr9:uid="{00000000-0011-0000-FFFF-FFFF76010000}">
      <tableStyleElement type="firstRowStripe" dxfId="1663"/>
      <tableStyleElement type="secondRowStripe" dxfId="1662"/>
    </tableStyle>
    <tableStyle name="Copy PRE FINAL 1.1-style 80" pivot="0" count="2" xr9:uid="{00000000-0011-0000-FFFF-FFFF77010000}">
      <tableStyleElement type="firstRowStripe" dxfId="1661"/>
      <tableStyleElement type="secondRowStripe" dxfId="1660"/>
    </tableStyle>
    <tableStyle name="Copy PRE FINAL 1.1-style 81" pivot="0" count="2" xr9:uid="{00000000-0011-0000-FFFF-FFFF78010000}">
      <tableStyleElement type="firstRowStripe" dxfId="1659"/>
      <tableStyleElement type="secondRowStripe" dxfId="1658"/>
    </tableStyle>
    <tableStyle name="Copy PRE FINAL 1.1-style 82" pivot="0" count="2" xr9:uid="{00000000-0011-0000-FFFF-FFFF79010000}">
      <tableStyleElement type="firstRowStripe" dxfId="1657"/>
      <tableStyleElement type="secondRowStripe" dxfId="1656"/>
    </tableStyle>
    <tableStyle name="Copy PRE FINAL 1.1-style 83" pivot="0" count="2" xr9:uid="{00000000-0011-0000-FFFF-FFFF7A010000}">
      <tableStyleElement type="firstRowStripe" dxfId="1655"/>
      <tableStyleElement type="secondRowStripe" dxfId="1654"/>
    </tableStyle>
    <tableStyle name="Copy PRE FINAL 1.1-style 84" pivot="0" count="2" xr9:uid="{00000000-0011-0000-FFFF-FFFF7B010000}">
      <tableStyleElement type="firstRowStripe" dxfId="1653"/>
      <tableStyleElement type="secondRowStripe" dxfId="1652"/>
    </tableStyle>
    <tableStyle name="Copy PRE FINAL 1.1-style 85" pivot="0" count="2" xr9:uid="{00000000-0011-0000-FFFF-FFFF7C010000}">
      <tableStyleElement type="firstRowStripe" dxfId="1651"/>
      <tableStyleElement type="secondRowStripe" dxfId="1650"/>
    </tableStyle>
    <tableStyle name="Copy PRE FINAL 1.1-style 86" pivot="0" count="2" xr9:uid="{00000000-0011-0000-FFFF-FFFF7D010000}">
      <tableStyleElement type="firstRowStripe" dxfId="1649"/>
      <tableStyleElement type="secondRowStripe" dxfId="1648"/>
    </tableStyle>
    <tableStyle name="Copy PRE FINAL 1.1-style 87" pivot="0" count="2" xr9:uid="{00000000-0011-0000-FFFF-FFFF7E010000}">
      <tableStyleElement type="firstRowStripe" dxfId="1647"/>
      <tableStyleElement type="secondRowStripe" dxfId="1646"/>
    </tableStyle>
    <tableStyle name="Copy PRE FINAL 1.1-style 88" pivot="0" count="2" xr9:uid="{00000000-0011-0000-FFFF-FFFF7F010000}">
      <tableStyleElement type="firstRowStripe" dxfId="1645"/>
      <tableStyleElement type="secondRowStripe" dxfId="1644"/>
    </tableStyle>
    <tableStyle name="Copy PRE FINAL 1.1-style 89" pivot="0" count="2" xr9:uid="{00000000-0011-0000-FFFF-FFFF80010000}">
      <tableStyleElement type="firstRowStripe" dxfId="1643"/>
      <tableStyleElement type="secondRowStripe" dxfId="1642"/>
    </tableStyle>
    <tableStyle name="Copy PRE FINAL 1.1-style 90" pivot="0" count="2" xr9:uid="{00000000-0011-0000-FFFF-FFFF81010000}">
      <tableStyleElement type="firstRowStripe" dxfId="1641"/>
      <tableStyleElement type="secondRowStripe" dxfId="1640"/>
    </tableStyle>
    <tableStyle name="Copy PRE FINAL 1.1-style 91" pivot="0" count="2" xr9:uid="{00000000-0011-0000-FFFF-FFFF82010000}">
      <tableStyleElement type="firstRowStripe" dxfId="1639"/>
      <tableStyleElement type="secondRowStripe" dxfId="1638"/>
    </tableStyle>
    <tableStyle name="Copy PRE FINAL 1.1-style 92" pivot="0" count="2" xr9:uid="{00000000-0011-0000-FFFF-FFFF83010000}">
      <tableStyleElement type="firstRowStripe" dxfId="1637"/>
      <tableStyleElement type="secondRowStripe" dxfId="1636"/>
    </tableStyle>
    <tableStyle name="Copy PRE FINAL 1.1-style 93" pivot="0" count="2" xr9:uid="{00000000-0011-0000-FFFF-FFFF84010000}">
      <tableStyleElement type="firstRowStripe" dxfId="1635"/>
      <tableStyleElement type="secondRowStripe" dxfId="1634"/>
    </tableStyle>
    <tableStyle name="Copy PRE FINAL 1.1-style 94" pivot="0" count="2" xr9:uid="{00000000-0011-0000-FFFF-FFFF85010000}">
      <tableStyleElement type="firstRowStripe" dxfId="1633"/>
      <tableStyleElement type="secondRowStripe" dxfId="1632"/>
    </tableStyle>
    <tableStyle name="Copy PRE FINAL 1.1-style 95" pivot="0" count="2" xr9:uid="{00000000-0011-0000-FFFF-FFFF86010000}">
      <tableStyleElement type="firstRowStripe" dxfId="1631"/>
      <tableStyleElement type="secondRowStripe" dxfId="1630"/>
    </tableStyle>
    <tableStyle name="Copy PRE FINAL 1.1-style 96" pivot="0" count="2" xr9:uid="{00000000-0011-0000-FFFF-FFFF87010000}">
      <tableStyleElement type="firstRowStripe" dxfId="1629"/>
      <tableStyleElement type="secondRowStripe" dxfId="1628"/>
    </tableStyle>
    <tableStyle name="Copy PRE FINAL 1.1-style 97" pivot="0" count="2" xr9:uid="{00000000-0011-0000-FFFF-FFFF88010000}">
      <tableStyleElement type="firstRowStripe" dxfId="1627"/>
      <tableStyleElement type="secondRowStripe" dxfId="1626"/>
    </tableStyle>
    <tableStyle name="Copy PRE FINAL 1.1-style 98" pivot="0" count="2" xr9:uid="{00000000-0011-0000-FFFF-FFFF89010000}">
      <tableStyleElement type="firstRowStripe" dxfId="1625"/>
      <tableStyleElement type="secondRowStripe" dxfId="1624"/>
    </tableStyle>
    <tableStyle name="Copy PRE FINAL 1.1-style 99" pivot="0" count="2" xr9:uid="{00000000-0011-0000-FFFF-FFFF8A010000}">
      <tableStyleElement type="firstRowStripe" dxfId="1623"/>
      <tableStyleElement type="secondRowStripe" dxfId="1622"/>
    </tableStyle>
    <tableStyle name="Copy PRE FINAL 1.1-style 100" pivot="0" count="2" xr9:uid="{00000000-0011-0000-FFFF-FFFF8B010000}">
      <tableStyleElement type="firstRowStripe" dxfId="1621"/>
      <tableStyleElement type="secondRowStripe" dxfId="1620"/>
    </tableStyle>
    <tableStyle name="Copy PRE FINAL 1.1-style 101" pivot="0" count="2" xr9:uid="{00000000-0011-0000-FFFF-FFFF8C010000}">
      <tableStyleElement type="firstRowStripe" dxfId="1619"/>
      <tableStyleElement type="secondRowStripe" dxfId="1618"/>
    </tableStyle>
    <tableStyle name="Copy PRE FINAL 1.1-style 102" pivot="0" count="2" xr9:uid="{00000000-0011-0000-FFFF-FFFF8D010000}">
      <tableStyleElement type="firstRowStripe" dxfId="1617"/>
      <tableStyleElement type="secondRowStripe" dxfId="1616"/>
    </tableStyle>
    <tableStyle name="Copy PRE FINAL 1.1-style 103" pivot="0" count="2" xr9:uid="{00000000-0011-0000-FFFF-FFFF8E010000}">
      <tableStyleElement type="firstRowStripe" dxfId="1615"/>
      <tableStyleElement type="secondRowStripe" dxfId="1614"/>
    </tableStyle>
    <tableStyle name="Copy PRE FINAL 1.1-style 104" pivot="0" count="2" xr9:uid="{00000000-0011-0000-FFFF-FFFF8F010000}">
      <tableStyleElement type="firstRowStripe" dxfId="1613"/>
      <tableStyleElement type="secondRowStripe" dxfId="1612"/>
    </tableStyle>
    <tableStyle name="Copy PRE FINAL 1.1-style 105" pivot="0" count="2" xr9:uid="{00000000-0011-0000-FFFF-FFFF90010000}">
      <tableStyleElement type="firstRowStripe" dxfId="1611"/>
      <tableStyleElement type="secondRowStripe" dxfId="1610"/>
    </tableStyle>
    <tableStyle name="Copy PRE FINAL 1.1-style 106" pivot="0" count="2" xr9:uid="{00000000-0011-0000-FFFF-FFFF91010000}">
      <tableStyleElement type="firstRowStripe" dxfId="1609"/>
      <tableStyleElement type="secondRowStripe" dxfId="1608"/>
    </tableStyle>
    <tableStyle name="Copy PRE FINAL 1.1-style 107" pivot="0" count="2" xr9:uid="{00000000-0011-0000-FFFF-FFFF92010000}">
      <tableStyleElement type="firstRowStripe" dxfId="1607"/>
      <tableStyleElement type="secondRowStripe" dxfId="1606"/>
    </tableStyle>
    <tableStyle name="Copy PRE FINAL 1.1-style 108" pivot="0" count="2" xr9:uid="{00000000-0011-0000-FFFF-FFFF93010000}">
      <tableStyleElement type="firstRowStripe" dxfId="1605"/>
      <tableStyleElement type="secondRowStripe" dxfId="1604"/>
    </tableStyle>
    <tableStyle name="Copy PRE FINAL 1.1-style 109" pivot="0" count="2" xr9:uid="{00000000-0011-0000-FFFF-FFFF94010000}">
      <tableStyleElement type="firstRowStripe" dxfId="1603"/>
      <tableStyleElement type="secondRowStripe" dxfId="1602"/>
    </tableStyle>
    <tableStyle name="Copy PRE FINAL 1.1-style 110" pivot="0" count="2" xr9:uid="{00000000-0011-0000-FFFF-FFFF95010000}">
      <tableStyleElement type="firstRowStripe" dxfId="1601"/>
      <tableStyleElement type="secondRowStripe" dxfId="1600"/>
    </tableStyle>
    <tableStyle name="Copy PRE FINAL 1.1-style 111" pivot="0" count="2" xr9:uid="{00000000-0011-0000-FFFF-FFFF96010000}">
      <tableStyleElement type="firstRowStripe" dxfId="1599"/>
      <tableStyleElement type="secondRowStripe" dxfId="1598"/>
    </tableStyle>
    <tableStyle name="Copy PRE FINAL 1.1-style 112" pivot="0" count="2" xr9:uid="{00000000-0011-0000-FFFF-FFFF97010000}">
      <tableStyleElement type="firstRowStripe" dxfId="1597"/>
      <tableStyleElement type="secondRowStripe" dxfId="1596"/>
    </tableStyle>
    <tableStyle name="Copy PRE FINAL 1.1-style 113" pivot="0" count="2" xr9:uid="{00000000-0011-0000-FFFF-FFFF98010000}">
      <tableStyleElement type="firstRowStripe" dxfId="1595"/>
      <tableStyleElement type="secondRowStripe" dxfId="1594"/>
    </tableStyle>
    <tableStyle name="Copy PRE FINAL 1.1-style 114" pivot="0" count="2" xr9:uid="{00000000-0011-0000-FFFF-FFFF99010000}">
      <tableStyleElement type="firstRowStripe" dxfId="1593"/>
      <tableStyleElement type="secondRowStripe" dxfId="1592"/>
    </tableStyle>
    <tableStyle name="Copy PRE FINAL 1.1-style 115" pivot="0" count="2" xr9:uid="{00000000-0011-0000-FFFF-FFFF9A010000}">
      <tableStyleElement type="firstRowStripe" dxfId="1591"/>
      <tableStyleElement type="secondRowStripe" dxfId="1590"/>
    </tableStyle>
    <tableStyle name="Copy PRE FINAL 1.1-style 116" pivot="0" count="2" xr9:uid="{00000000-0011-0000-FFFF-FFFF9B010000}">
      <tableStyleElement type="firstRowStripe" dxfId="1589"/>
      <tableStyleElement type="secondRowStripe" dxfId="1588"/>
    </tableStyle>
    <tableStyle name="Copy PRE FINAL 1.1-style 117" pivot="0" count="2" xr9:uid="{00000000-0011-0000-FFFF-FFFF9C010000}">
      <tableStyleElement type="firstRowStripe" dxfId="1587"/>
      <tableStyleElement type="secondRowStripe" dxfId="1586"/>
    </tableStyle>
    <tableStyle name="Copy PRE FINAL 1.1-style 118" pivot="0" count="2" xr9:uid="{00000000-0011-0000-FFFF-FFFF9D010000}">
      <tableStyleElement type="firstRowStripe" dxfId="1585"/>
      <tableStyleElement type="secondRowStripe" dxfId="1584"/>
    </tableStyle>
    <tableStyle name="Copy PRE FINAL 1.1-style 119" pivot="0" count="2" xr9:uid="{00000000-0011-0000-FFFF-FFFF9E010000}">
      <tableStyleElement type="firstRowStripe" dxfId="1583"/>
      <tableStyleElement type="secondRowStripe" dxfId="1582"/>
    </tableStyle>
    <tableStyle name="Copy PRE FINAL 1.1-style 120" pivot="0" count="2" xr9:uid="{00000000-0011-0000-FFFF-FFFF9F010000}">
      <tableStyleElement type="firstRowStripe" dxfId="1581"/>
      <tableStyleElement type="secondRowStripe" dxfId="1580"/>
    </tableStyle>
    <tableStyle name="Copy PRE FINAL 1.1-style 121" pivot="0" count="2" xr9:uid="{00000000-0011-0000-FFFF-FFFFA0010000}">
      <tableStyleElement type="firstRowStripe" dxfId="1579"/>
      <tableStyleElement type="secondRowStripe" dxfId="1578"/>
    </tableStyle>
    <tableStyle name="Copy PRE FINAL 1.1-style 122" pivot="0" count="2" xr9:uid="{00000000-0011-0000-FFFF-FFFFA1010000}">
      <tableStyleElement type="firstRowStripe" dxfId="1577"/>
      <tableStyleElement type="secondRowStripe" dxfId="1576"/>
    </tableStyle>
    <tableStyle name="Copy PRE FINAL 1.1-style 123" pivot="0" count="2" xr9:uid="{00000000-0011-0000-FFFF-FFFFA2010000}">
      <tableStyleElement type="firstRowStripe" dxfId="1575"/>
      <tableStyleElement type="secondRowStripe" dxfId="1574"/>
    </tableStyle>
    <tableStyle name="Copy PRE FINAL 1.1-style 124" pivot="0" count="2" xr9:uid="{00000000-0011-0000-FFFF-FFFFA3010000}">
      <tableStyleElement type="firstRowStripe" dxfId="1573"/>
      <tableStyleElement type="secondRowStripe" dxfId="1572"/>
    </tableStyle>
    <tableStyle name="Copy PRE FINAL 1.1-style 125" pivot="0" count="2" xr9:uid="{00000000-0011-0000-FFFF-FFFFA4010000}">
      <tableStyleElement type="firstRowStripe" dxfId="1571"/>
      <tableStyleElement type="secondRowStripe" dxfId="1570"/>
    </tableStyle>
    <tableStyle name="Copy PRE FINAL 1.1-style 126" pivot="0" count="2" xr9:uid="{00000000-0011-0000-FFFF-FFFFA5010000}">
      <tableStyleElement type="firstRowStripe" dxfId="1569"/>
      <tableStyleElement type="secondRowStripe" dxfId="1568"/>
    </tableStyle>
    <tableStyle name="Copy PRE FINAL 1.1-style 127" pivot="0" count="2" xr9:uid="{00000000-0011-0000-FFFF-FFFFA6010000}">
      <tableStyleElement type="firstRowStripe" dxfId="1567"/>
      <tableStyleElement type="secondRowStripe" dxfId="1566"/>
    </tableStyle>
    <tableStyle name="Copy PRE FINAL 1.1-style 128" pivot="0" count="2" xr9:uid="{00000000-0011-0000-FFFF-FFFFA7010000}">
      <tableStyleElement type="firstRowStripe" dxfId="1565"/>
      <tableStyleElement type="secondRowStripe" dxfId="1564"/>
    </tableStyle>
    <tableStyle name="Copy PRE FINAL 1.1-style 129" pivot="0" count="2" xr9:uid="{00000000-0011-0000-FFFF-FFFFA8010000}">
      <tableStyleElement type="firstRowStripe" dxfId="1563"/>
      <tableStyleElement type="secondRowStripe" dxfId="1562"/>
    </tableStyle>
    <tableStyle name="Copy PRE FINAL 1.1-style 130" pivot="0" count="2" xr9:uid="{00000000-0011-0000-FFFF-FFFFA9010000}">
      <tableStyleElement type="firstRowStripe" dxfId="1561"/>
      <tableStyleElement type="secondRowStripe" dxfId="1560"/>
    </tableStyle>
    <tableStyle name="Copy PRE FINAL 1.1-style 131" pivot="0" count="2" xr9:uid="{00000000-0011-0000-FFFF-FFFFAA010000}">
      <tableStyleElement type="firstRowStripe" dxfId="1559"/>
      <tableStyleElement type="secondRowStripe" dxfId="1558"/>
    </tableStyle>
    <tableStyle name="Copy PRE FINAL 1.1-style 132" pivot="0" count="2" xr9:uid="{00000000-0011-0000-FFFF-FFFFAB010000}">
      <tableStyleElement type="firstRowStripe" dxfId="1557"/>
      <tableStyleElement type="secondRowStripe" dxfId="1556"/>
    </tableStyle>
    <tableStyle name="Copy PRE FINAL 1.1-style 133" pivot="0" count="2" xr9:uid="{00000000-0011-0000-FFFF-FFFFAC010000}">
      <tableStyleElement type="firstRowStripe" dxfId="1555"/>
      <tableStyleElement type="secondRowStripe" dxfId="1554"/>
    </tableStyle>
    <tableStyle name="Copy PRE FINAL 1.1-style 134" pivot="0" count="2" xr9:uid="{00000000-0011-0000-FFFF-FFFFAD010000}">
      <tableStyleElement type="firstRowStripe" dxfId="1553"/>
      <tableStyleElement type="secondRowStripe" dxfId="1552"/>
    </tableStyle>
    <tableStyle name="Copy PRE FINAL 1.1-style 135" pivot="0" count="2" xr9:uid="{00000000-0011-0000-FFFF-FFFFAE010000}">
      <tableStyleElement type="firstRowStripe" dxfId="1551"/>
      <tableStyleElement type="secondRowStripe" dxfId="1550"/>
    </tableStyle>
    <tableStyle name="Copy PRE FINAL 1.1-style 136" pivot="0" count="2" xr9:uid="{00000000-0011-0000-FFFF-FFFFAF010000}">
      <tableStyleElement type="firstRowStripe" dxfId="1549"/>
      <tableStyleElement type="secondRowStripe" dxfId="1548"/>
    </tableStyle>
    <tableStyle name="Copy PRE FINAL 1.1-style 137" pivot="0" count="2" xr9:uid="{00000000-0011-0000-FFFF-FFFFB0010000}">
      <tableStyleElement type="firstRowStripe" dxfId="1547"/>
      <tableStyleElement type="secondRowStripe" dxfId="1546"/>
    </tableStyle>
    <tableStyle name="Copy PRE FINAL 1.1-style 138" pivot="0" count="2" xr9:uid="{00000000-0011-0000-FFFF-FFFFB1010000}">
      <tableStyleElement type="firstRowStripe" dxfId="1545"/>
      <tableStyleElement type="secondRowStripe" dxfId="1544"/>
    </tableStyle>
    <tableStyle name="Copy PRE FINAL 1.1-style 139" pivot="0" count="2" xr9:uid="{00000000-0011-0000-FFFF-FFFFB2010000}">
      <tableStyleElement type="firstRowStripe" dxfId="1543"/>
      <tableStyleElement type="secondRowStripe" dxfId="1542"/>
    </tableStyle>
    <tableStyle name="Copy PRE FINAL 1.1-style 140" pivot="0" count="2" xr9:uid="{00000000-0011-0000-FFFF-FFFFB3010000}">
      <tableStyleElement type="firstRowStripe" dxfId="1541"/>
      <tableStyleElement type="secondRowStripe" dxfId="1540"/>
    </tableStyle>
    <tableStyle name="Copy PRE FINAL 1.1-style 141" pivot="0" count="2" xr9:uid="{00000000-0011-0000-FFFF-FFFFB4010000}">
      <tableStyleElement type="firstRowStripe" dxfId="1539"/>
      <tableStyleElement type="secondRowStripe" dxfId="1538"/>
    </tableStyle>
    <tableStyle name="Copy PRE FINAL 1.1-style 142" pivot="0" count="2" xr9:uid="{00000000-0011-0000-FFFF-FFFFB5010000}">
      <tableStyleElement type="firstRowStripe" dxfId="1537"/>
      <tableStyleElement type="secondRowStripe" dxfId="1536"/>
    </tableStyle>
    <tableStyle name="Copy PRE FINAL 1.1-style 143" pivot="0" count="2" xr9:uid="{00000000-0011-0000-FFFF-FFFFB6010000}">
      <tableStyleElement type="firstRowStripe" dxfId="1535"/>
      <tableStyleElement type="secondRowStripe" dxfId="1534"/>
    </tableStyle>
    <tableStyle name="Copy PRE FINAL 1.1-style 144" pivot="0" count="2" xr9:uid="{00000000-0011-0000-FFFF-FFFFB7010000}">
      <tableStyleElement type="firstRowStripe" dxfId="1533"/>
      <tableStyleElement type="secondRowStripe" dxfId="1532"/>
    </tableStyle>
    <tableStyle name="Copy PRE FINAL 1.1-style 145" pivot="0" count="2" xr9:uid="{00000000-0011-0000-FFFF-FFFFB8010000}">
      <tableStyleElement type="firstRowStripe" dxfId="1531"/>
      <tableStyleElement type="secondRowStripe" dxfId="1530"/>
    </tableStyle>
    <tableStyle name="Copy PRE FINAL 1.1-style 146" pivot="0" count="2" xr9:uid="{00000000-0011-0000-FFFF-FFFFB9010000}">
      <tableStyleElement type="firstRowStripe" dxfId="1529"/>
      <tableStyleElement type="secondRowStripe" dxfId="1528"/>
    </tableStyle>
    <tableStyle name="Copy PRE FINAL 1.1-style 147" pivot="0" count="2" xr9:uid="{00000000-0011-0000-FFFF-FFFFBA010000}">
      <tableStyleElement type="firstRowStripe" dxfId="1527"/>
      <tableStyleElement type="secondRowStripe" dxfId="1526"/>
    </tableStyle>
    <tableStyle name="Copy PRE FINAL 1.1-style 148" pivot="0" count="2" xr9:uid="{00000000-0011-0000-FFFF-FFFFBB010000}">
      <tableStyleElement type="firstRowStripe" dxfId="1525"/>
      <tableStyleElement type="secondRowStripe" dxfId="1524"/>
    </tableStyle>
    <tableStyle name="Copy PRE FINAL 1.1-style 149" pivot="0" count="2" xr9:uid="{00000000-0011-0000-FFFF-FFFFBC010000}">
      <tableStyleElement type="firstRowStripe" dxfId="1523"/>
      <tableStyleElement type="secondRowStripe" dxfId="1522"/>
    </tableStyle>
    <tableStyle name="Copy PRE FINAL 1.1-style 150" pivot="0" count="2" xr9:uid="{00000000-0011-0000-FFFF-FFFFBD010000}">
      <tableStyleElement type="firstRowStripe" dxfId="1521"/>
      <tableStyleElement type="secondRowStripe" dxfId="1520"/>
    </tableStyle>
    <tableStyle name="Copy PRE FINAL 1.1-style 151" pivot="0" count="2" xr9:uid="{00000000-0011-0000-FFFF-FFFFBE010000}">
      <tableStyleElement type="firstRowStripe" dxfId="1519"/>
      <tableStyleElement type="secondRowStripe" dxfId="1518"/>
    </tableStyle>
    <tableStyle name="Copy PRE FINAL 1.1-style 152" pivot="0" count="2" xr9:uid="{00000000-0011-0000-FFFF-FFFFBF010000}">
      <tableStyleElement type="firstRowStripe" dxfId="1517"/>
      <tableStyleElement type="secondRowStripe" dxfId="1516"/>
    </tableStyle>
    <tableStyle name="Copy PRE FINAL 1.1-style 153" pivot="0" count="2" xr9:uid="{00000000-0011-0000-FFFF-FFFFC0010000}">
      <tableStyleElement type="firstRowStripe" dxfId="1515"/>
      <tableStyleElement type="secondRowStripe" dxfId="1514"/>
    </tableStyle>
    <tableStyle name="Copy PRE FINAL 1.1-style 154" pivot="0" count="2" xr9:uid="{00000000-0011-0000-FFFF-FFFFC1010000}">
      <tableStyleElement type="firstRowStripe" dxfId="1513"/>
      <tableStyleElement type="secondRowStripe" dxfId="1512"/>
    </tableStyle>
    <tableStyle name="Copy PRE FINAL 1.1-style 155" pivot="0" count="2" xr9:uid="{00000000-0011-0000-FFFF-FFFFC2010000}">
      <tableStyleElement type="firstRowStripe" dxfId="1511"/>
      <tableStyleElement type="secondRowStripe" dxfId="1510"/>
    </tableStyle>
    <tableStyle name="Copy PRE FINAL 1.1-style 156" pivot="0" count="2" xr9:uid="{00000000-0011-0000-FFFF-FFFFC3010000}">
      <tableStyleElement type="firstRowStripe" dxfId="1509"/>
      <tableStyleElement type="secondRowStripe" dxfId="1508"/>
    </tableStyle>
    <tableStyle name="Copy PRE FINAL 1.1-style 157" pivot="0" count="2" xr9:uid="{00000000-0011-0000-FFFF-FFFFC4010000}">
      <tableStyleElement type="firstRowStripe" dxfId="1507"/>
      <tableStyleElement type="secondRowStripe" dxfId="1506"/>
    </tableStyle>
    <tableStyle name="Copy PRE FINAL 1.1-style 158" pivot="0" count="2" xr9:uid="{00000000-0011-0000-FFFF-FFFFC5010000}">
      <tableStyleElement type="firstRowStripe" dxfId="1505"/>
      <tableStyleElement type="secondRowStripe" dxfId="1504"/>
    </tableStyle>
    <tableStyle name="Copy PRE FINAL 1.1-style 159" pivot="0" count="2" xr9:uid="{00000000-0011-0000-FFFF-FFFFC6010000}">
      <tableStyleElement type="firstRowStripe" dxfId="1503"/>
      <tableStyleElement type="secondRowStripe" dxfId="1502"/>
    </tableStyle>
    <tableStyle name="Copy PRE FINAL 1.1-style 160" pivot="0" count="2" xr9:uid="{00000000-0011-0000-FFFF-FFFFC7010000}">
      <tableStyleElement type="firstRowStripe" dxfId="1501"/>
      <tableStyleElement type="secondRowStripe" dxfId="1500"/>
    </tableStyle>
    <tableStyle name="Copy PRE FINAL 1.1-style 161" pivot="0" count="2" xr9:uid="{00000000-0011-0000-FFFF-FFFFC8010000}">
      <tableStyleElement type="firstRowStripe" dxfId="1499"/>
      <tableStyleElement type="secondRowStripe" dxfId="1498"/>
    </tableStyle>
    <tableStyle name="Copy PRE FINAL 1.1-style 162" pivot="0" count="2" xr9:uid="{00000000-0011-0000-FFFF-FFFFC9010000}">
      <tableStyleElement type="firstRowStripe" dxfId="1497"/>
      <tableStyleElement type="secondRowStripe" dxfId="1496"/>
    </tableStyle>
    <tableStyle name="Copy PRE FINAL 1.1-style 163" pivot="0" count="2" xr9:uid="{00000000-0011-0000-FFFF-FFFFCA010000}">
      <tableStyleElement type="firstRowStripe" dxfId="1495"/>
      <tableStyleElement type="secondRowStripe" dxfId="1494"/>
    </tableStyle>
    <tableStyle name="Copy PRE FINAL 1.1-style 164" pivot="0" count="2" xr9:uid="{00000000-0011-0000-FFFF-FFFFCB010000}">
      <tableStyleElement type="firstRowStripe" dxfId="1493"/>
      <tableStyleElement type="secondRowStripe" dxfId="1492"/>
    </tableStyle>
    <tableStyle name="Copy PRE FINAL 1.1-style 165" pivot="0" count="2" xr9:uid="{00000000-0011-0000-FFFF-FFFFCC010000}">
      <tableStyleElement type="firstRowStripe" dxfId="1491"/>
      <tableStyleElement type="secondRowStripe" dxfId="1490"/>
    </tableStyle>
    <tableStyle name="Copy PRE FINAL 1.1-style 166" pivot="0" count="2" xr9:uid="{00000000-0011-0000-FFFF-FFFFCD010000}">
      <tableStyleElement type="firstRowStripe" dxfId="1489"/>
      <tableStyleElement type="secondRowStripe" dxfId="1488"/>
    </tableStyle>
    <tableStyle name="Copy PRE FINAL 1.1-style 167" pivot="0" count="2" xr9:uid="{00000000-0011-0000-FFFF-FFFFCE010000}">
      <tableStyleElement type="firstRowStripe" dxfId="1487"/>
      <tableStyleElement type="secondRowStripe" dxfId="1486"/>
    </tableStyle>
    <tableStyle name="Copy PRE FINAL 1.1-style 168" pivot="0" count="2" xr9:uid="{00000000-0011-0000-FFFF-FFFFCF010000}">
      <tableStyleElement type="firstRowStripe" dxfId="1485"/>
      <tableStyleElement type="secondRowStripe" dxfId="1484"/>
    </tableStyle>
    <tableStyle name="Copy PRE FINAL 1.1-style 169" pivot="0" count="2" xr9:uid="{00000000-0011-0000-FFFF-FFFFD0010000}">
      <tableStyleElement type="firstRowStripe" dxfId="1483"/>
      <tableStyleElement type="secondRowStripe" dxfId="1482"/>
    </tableStyle>
    <tableStyle name="Copy PRE FINAL 1.1-style 170" pivot="0" count="2" xr9:uid="{00000000-0011-0000-FFFF-FFFFD1010000}">
      <tableStyleElement type="firstRowStripe" dxfId="1481"/>
      <tableStyleElement type="secondRowStripe" dxfId="1480"/>
    </tableStyle>
    <tableStyle name="Copy PRE FINAL 1.1-style 171" pivot="0" count="2" xr9:uid="{00000000-0011-0000-FFFF-FFFFD2010000}">
      <tableStyleElement type="firstRowStripe" dxfId="1479"/>
      <tableStyleElement type="secondRowStripe" dxfId="1478"/>
    </tableStyle>
    <tableStyle name="Copy PRE FINAL 1.1-style 172" pivot="0" count="2" xr9:uid="{00000000-0011-0000-FFFF-FFFFD3010000}">
      <tableStyleElement type="firstRowStripe" dxfId="1477"/>
      <tableStyleElement type="secondRowStripe" dxfId="1476"/>
    </tableStyle>
    <tableStyle name="Copy PRE FINAL 1.1-style 173" pivot="0" count="2" xr9:uid="{00000000-0011-0000-FFFF-FFFFD4010000}">
      <tableStyleElement type="firstRowStripe" dxfId="1475"/>
      <tableStyleElement type="secondRowStripe" dxfId="1474"/>
    </tableStyle>
    <tableStyle name="Copy PRE FINAL 1.1-style 174" pivot="0" count="2" xr9:uid="{00000000-0011-0000-FFFF-FFFFD5010000}">
      <tableStyleElement type="firstRowStripe" dxfId="1473"/>
      <tableStyleElement type="secondRowStripe" dxfId="1472"/>
    </tableStyle>
    <tableStyle name="Copy PRE FINAL 1.1-style 175" pivot="0" count="2" xr9:uid="{00000000-0011-0000-FFFF-FFFFD6010000}">
      <tableStyleElement type="firstRowStripe" dxfId="1471"/>
      <tableStyleElement type="secondRowStripe" dxfId="1470"/>
    </tableStyle>
    <tableStyle name="Copy PRE FINAL 1.1-style 176" pivot="0" count="2" xr9:uid="{00000000-0011-0000-FFFF-FFFFD7010000}">
      <tableStyleElement type="firstRowStripe" dxfId="1469"/>
      <tableStyleElement type="secondRowStripe" dxfId="1468"/>
    </tableStyle>
    <tableStyle name="Copy PRE FINAL 1.1-style 177" pivot="0" count="2" xr9:uid="{00000000-0011-0000-FFFF-FFFFD8010000}">
      <tableStyleElement type="firstRowStripe" dxfId="1467"/>
      <tableStyleElement type="secondRowStripe" dxfId="1466"/>
    </tableStyle>
    <tableStyle name="Copy PRE FINAL 1.1-style 178" pivot="0" count="2" xr9:uid="{00000000-0011-0000-FFFF-FFFFD9010000}">
      <tableStyleElement type="firstRowStripe" dxfId="1465"/>
      <tableStyleElement type="secondRowStripe" dxfId="1464"/>
    </tableStyle>
    <tableStyle name="Copy PRE FINAL 1.1-style 179" pivot="0" count="2" xr9:uid="{00000000-0011-0000-FFFF-FFFFDA010000}">
      <tableStyleElement type="firstRowStripe" dxfId="1463"/>
      <tableStyleElement type="secondRowStripe" dxfId="1462"/>
    </tableStyle>
    <tableStyle name="Copy PRE FINAL 1.1-style 180" pivot="0" count="2" xr9:uid="{00000000-0011-0000-FFFF-FFFFDB010000}">
      <tableStyleElement type="firstRowStripe" dxfId="1461"/>
      <tableStyleElement type="secondRowStripe" dxfId="1460"/>
    </tableStyle>
    <tableStyle name="Copy PRE FINAL 1.1-style 181" pivot="0" count="2" xr9:uid="{00000000-0011-0000-FFFF-FFFFDC010000}">
      <tableStyleElement type="firstRowStripe" dxfId="1459"/>
      <tableStyleElement type="secondRowStripe" dxfId="1458"/>
    </tableStyle>
    <tableStyle name="Copy PRE FINAL 1.1-style 182" pivot="0" count="2" xr9:uid="{00000000-0011-0000-FFFF-FFFFDD010000}">
      <tableStyleElement type="firstRowStripe" dxfId="1457"/>
      <tableStyleElement type="secondRowStripe" dxfId="1456"/>
    </tableStyle>
    <tableStyle name="Copy PRE FINAL 1.1-style 183" pivot="0" count="2" xr9:uid="{00000000-0011-0000-FFFF-FFFFDE010000}">
      <tableStyleElement type="firstRowStripe" dxfId="1455"/>
      <tableStyleElement type="secondRowStripe" dxfId="1454"/>
    </tableStyle>
    <tableStyle name="Copy PRE FINAL 1.1-style 184" pivot="0" count="2" xr9:uid="{00000000-0011-0000-FFFF-FFFFDF010000}">
      <tableStyleElement type="firstRowStripe" dxfId="1453"/>
      <tableStyleElement type="secondRowStripe" dxfId="1452"/>
    </tableStyle>
    <tableStyle name="Copy PRE FINAL 1.1-style 185" pivot="0" count="2" xr9:uid="{00000000-0011-0000-FFFF-FFFFE0010000}">
      <tableStyleElement type="firstRowStripe" dxfId="1451"/>
      <tableStyleElement type="secondRowStripe" dxfId="1450"/>
    </tableStyle>
    <tableStyle name="Copy PRE FINAL 1.1-style 186" pivot="0" count="2" xr9:uid="{00000000-0011-0000-FFFF-FFFFE1010000}">
      <tableStyleElement type="firstRowStripe" dxfId="1449"/>
      <tableStyleElement type="secondRowStripe" dxfId="1448"/>
    </tableStyle>
    <tableStyle name="Copy PRE FINAL 1.1-style 187" pivot="0" count="2" xr9:uid="{00000000-0011-0000-FFFF-FFFFE2010000}">
      <tableStyleElement type="firstRowStripe" dxfId="1447"/>
      <tableStyleElement type="secondRowStripe" dxfId="1446"/>
    </tableStyle>
    <tableStyle name="Copy PRE FINAL 1.1-style 188" pivot="0" count="2" xr9:uid="{00000000-0011-0000-FFFF-FFFFE3010000}">
      <tableStyleElement type="firstRowStripe" dxfId="1445"/>
      <tableStyleElement type="secondRowStripe" dxfId="1444"/>
    </tableStyle>
    <tableStyle name="Copy PRE FINAL 1.1-style 189" pivot="0" count="2" xr9:uid="{00000000-0011-0000-FFFF-FFFFE4010000}">
      <tableStyleElement type="firstRowStripe" dxfId="1443"/>
      <tableStyleElement type="secondRowStripe" dxfId="1442"/>
    </tableStyle>
    <tableStyle name="Copy PRE FINAL 1.1-style 190" pivot="0" count="2" xr9:uid="{00000000-0011-0000-FFFF-FFFFE5010000}">
      <tableStyleElement type="firstRowStripe" dxfId="1441"/>
      <tableStyleElement type="secondRowStripe" dxfId="1440"/>
    </tableStyle>
    <tableStyle name="Copy PRE FINAL 1.1-style 191" pivot="0" count="2" xr9:uid="{00000000-0011-0000-FFFF-FFFFE6010000}">
      <tableStyleElement type="firstRowStripe" dxfId="1439"/>
      <tableStyleElement type="secondRowStripe" dxfId="1438"/>
    </tableStyle>
    <tableStyle name="Copy PRE FINAL 1.1-style 192" pivot="0" count="2" xr9:uid="{00000000-0011-0000-FFFF-FFFFE7010000}">
      <tableStyleElement type="firstRowStripe" dxfId="1437"/>
      <tableStyleElement type="secondRowStripe" dxfId="1436"/>
    </tableStyle>
    <tableStyle name="Copy PRE FINAL 1.1-style 193" pivot="0" count="2" xr9:uid="{00000000-0011-0000-FFFF-FFFFE8010000}">
      <tableStyleElement type="firstRowStripe" dxfId="1435"/>
      <tableStyleElement type="secondRowStripe" dxfId="1434"/>
    </tableStyle>
    <tableStyle name="Copy PRE FINAL 1.1-style 194" pivot="0" count="2" xr9:uid="{00000000-0011-0000-FFFF-FFFFE9010000}">
      <tableStyleElement type="firstRowStripe" dxfId="1433"/>
      <tableStyleElement type="secondRowStripe" dxfId="1432"/>
    </tableStyle>
    <tableStyle name="Copy PRE FINAL 1.1-style 195" pivot="0" count="2" xr9:uid="{00000000-0011-0000-FFFF-FFFFEA010000}">
      <tableStyleElement type="firstRowStripe" dxfId="1431"/>
      <tableStyleElement type="secondRowStripe" dxfId="1430"/>
    </tableStyle>
    <tableStyle name="Copy PRE FINAL 1.1-style 196" pivot="0" count="2" xr9:uid="{00000000-0011-0000-FFFF-FFFFEB010000}">
      <tableStyleElement type="firstRowStripe" dxfId="1429"/>
      <tableStyleElement type="secondRowStripe" dxfId="1428"/>
    </tableStyle>
    <tableStyle name="Copy PRE FINAL 1.1-style 197" pivot="0" count="2" xr9:uid="{00000000-0011-0000-FFFF-FFFFEC010000}">
      <tableStyleElement type="firstRowStripe" dxfId="1427"/>
      <tableStyleElement type="secondRowStripe" dxfId="1426"/>
    </tableStyle>
    <tableStyle name="Copy PRE FINAL 1.1-style 198" pivot="0" count="2" xr9:uid="{00000000-0011-0000-FFFF-FFFFED010000}">
      <tableStyleElement type="firstRowStripe" dxfId="1425"/>
      <tableStyleElement type="secondRowStripe" dxfId="1424"/>
    </tableStyle>
    <tableStyle name="Copy PRE FINAL 1.1-style 199" pivot="0" count="2" xr9:uid="{00000000-0011-0000-FFFF-FFFFEE010000}">
      <tableStyleElement type="firstRowStripe" dxfId="1423"/>
      <tableStyleElement type="secondRowStripe" dxfId="1422"/>
    </tableStyle>
    <tableStyle name="Copy PRE FINAL 1.1-style 200" pivot="0" count="2" xr9:uid="{00000000-0011-0000-FFFF-FFFFEF010000}">
      <tableStyleElement type="firstRowStripe" dxfId="1421"/>
      <tableStyleElement type="secondRowStripe" dxfId="1420"/>
    </tableStyle>
    <tableStyle name="Copy PRE FINAL 1.1-style 201" pivot="0" count="2" xr9:uid="{00000000-0011-0000-FFFF-FFFFF0010000}">
      <tableStyleElement type="firstRowStripe" dxfId="1419"/>
      <tableStyleElement type="secondRowStripe" dxfId="1418"/>
    </tableStyle>
    <tableStyle name="Copy PRE FINAL 1.1-style 202" pivot="0" count="2" xr9:uid="{00000000-0011-0000-FFFF-FFFFF1010000}">
      <tableStyleElement type="firstRowStripe" dxfId="1417"/>
      <tableStyleElement type="secondRowStripe" dxfId="1416"/>
    </tableStyle>
    <tableStyle name="Copy PRE FINAL 1.1-style 203" pivot="0" count="2" xr9:uid="{00000000-0011-0000-FFFF-FFFFF2010000}">
      <tableStyleElement type="firstRowStripe" dxfId="1415"/>
      <tableStyleElement type="secondRowStripe" dxfId="1414"/>
    </tableStyle>
    <tableStyle name="Copy PRE FINAL 1.1-style 204" pivot="0" count="2" xr9:uid="{00000000-0011-0000-FFFF-FFFFF3010000}">
      <tableStyleElement type="firstRowStripe" dxfId="1413"/>
      <tableStyleElement type="secondRowStripe" dxfId="1412"/>
    </tableStyle>
    <tableStyle name="Copy PRE FINAL 1.1-style 205" pivot="0" count="2" xr9:uid="{00000000-0011-0000-FFFF-FFFFF4010000}">
      <tableStyleElement type="firstRowStripe" dxfId="1411"/>
      <tableStyleElement type="secondRowStripe" dxfId="1410"/>
    </tableStyle>
    <tableStyle name="Copy PRE FINAL 1.1-style 206" pivot="0" count="2" xr9:uid="{00000000-0011-0000-FFFF-FFFFF5010000}">
      <tableStyleElement type="firstRowStripe" dxfId="1409"/>
      <tableStyleElement type="secondRowStripe" dxfId="1408"/>
    </tableStyle>
    <tableStyle name="Copy PRE FINAL 1.1-style 207" pivot="0" count="2" xr9:uid="{00000000-0011-0000-FFFF-FFFFF6010000}">
      <tableStyleElement type="firstRowStripe" dxfId="1407"/>
      <tableStyleElement type="secondRowStripe" dxfId="1406"/>
    </tableStyle>
    <tableStyle name="Copy PRE FINAL 1.1-style 208" pivot="0" count="2" xr9:uid="{00000000-0011-0000-FFFF-FFFFF7010000}">
      <tableStyleElement type="firstRowStripe" dxfId="1405"/>
      <tableStyleElement type="secondRowStripe" dxfId="1404"/>
    </tableStyle>
    <tableStyle name="Copy PRE FINAL 1.1-style 209" pivot="0" count="2" xr9:uid="{00000000-0011-0000-FFFF-FFFFF8010000}">
      <tableStyleElement type="firstRowStripe" dxfId="1403"/>
      <tableStyleElement type="secondRowStripe" dxfId="1402"/>
    </tableStyle>
    <tableStyle name="Copy PRE FINAL 1.1-style 210" pivot="0" count="2" xr9:uid="{00000000-0011-0000-FFFF-FFFFF9010000}">
      <tableStyleElement type="firstRowStripe" dxfId="1401"/>
      <tableStyleElement type="secondRowStripe" dxfId="1400"/>
    </tableStyle>
    <tableStyle name="Copy PRE FINAL 1.1-style 211" pivot="0" count="2" xr9:uid="{00000000-0011-0000-FFFF-FFFFFA010000}">
      <tableStyleElement type="firstRowStripe" dxfId="1399"/>
      <tableStyleElement type="secondRowStripe" dxfId="1398"/>
    </tableStyle>
    <tableStyle name="Copy PRE FINAL 1.1-style 212" pivot="0" count="2" xr9:uid="{00000000-0011-0000-FFFF-FFFFFB010000}">
      <tableStyleElement type="firstRowStripe" dxfId="1397"/>
      <tableStyleElement type="secondRowStripe" dxfId="1396"/>
    </tableStyle>
    <tableStyle name="Copy PRE FINAL 1.1-style 213" pivot="0" count="2" xr9:uid="{00000000-0011-0000-FFFF-FFFFFC010000}">
      <tableStyleElement type="firstRowStripe" dxfId="1395"/>
      <tableStyleElement type="secondRowStripe" dxfId="1394"/>
    </tableStyle>
    <tableStyle name="Copy PRE FINAL 1.1-style 214" pivot="0" count="2" xr9:uid="{00000000-0011-0000-FFFF-FFFFFD010000}">
      <tableStyleElement type="firstRowStripe" dxfId="1393"/>
      <tableStyleElement type="secondRowStripe" dxfId="1392"/>
    </tableStyle>
    <tableStyle name="Copy PRE FINAL 1.1-style 215" pivot="0" count="2" xr9:uid="{00000000-0011-0000-FFFF-FFFFFE010000}">
      <tableStyleElement type="firstRowStripe" dxfId="1391"/>
      <tableStyleElement type="secondRowStripe" dxfId="1390"/>
    </tableStyle>
    <tableStyle name="Copy PRE FINAL 1.1-style 216" pivot="0" count="2" xr9:uid="{00000000-0011-0000-FFFF-FFFFFF010000}">
      <tableStyleElement type="firstRowStripe" dxfId="1389"/>
      <tableStyleElement type="secondRowStripe" dxfId="1388"/>
    </tableStyle>
    <tableStyle name="Copy PRE FINAL 1.1-style 217" pivot="0" count="2" xr9:uid="{00000000-0011-0000-FFFF-FFFF00020000}">
      <tableStyleElement type="firstRowStripe" dxfId="1387"/>
      <tableStyleElement type="secondRowStripe" dxfId="1386"/>
    </tableStyle>
    <tableStyle name="Copy PRE FINAL 1.1-style 218" pivot="0" count="2" xr9:uid="{00000000-0011-0000-FFFF-FFFF01020000}">
      <tableStyleElement type="firstRowStripe" dxfId="1385"/>
      <tableStyleElement type="secondRowStripe" dxfId="1384"/>
    </tableStyle>
    <tableStyle name="Copy PRE FINAL 1.1-style 219" pivot="0" count="2" xr9:uid="{00000000-0011-0000-FFFF-FFFF02020000}">
      <tableStyleElement type="firstRowStripe" dxfId="1383"/>
      <tableStyleElement type="secondRowStripe" dxfId="1382"/>
    </tableStyle>
    <tableStyle name="Copy PRE FINAL 1.1-style 220" pivot="0" count="2" xr9:uid="{00000000-0011-0000-FFFF-FFFF03020000}">
      <tableStyleElement type="firstRowStripe" dxfId="1381"/>
      <tableStyleElement type="secondRowStripe" dxfId="1380"/>
    </tableStyle>
    <tableStyle name="Copy PRE FINAL 1.1-style 221" pivot="0" count="2" xr9:uid="{00000000-0011-0000-FFFF-FFFF04020000}">
      <tableStyleElement type="firstRowStripe" dxfId="1379"/>
      <tableStyleElement type="secondRowStripe" dxfId="1378"/>
    </tableStyle>
    <tableStyle name="Copy PRE FINAL 1.1-style 222" pivot="0" count="2" xr9:uid="{00000000-0011-0000-FFFF-FFFF05020000}">
      <tableStyleElement type="firstRowStripe" dxfId="1377"/>
      <tableStyleElement type="secondRowStripe" dxfId="1376"/>
    </tableStyle>
    <tableStyle name="Copy PRE FINAL 1.1-style 223" pivot="0" count="2" xr9:uid="{00000000-0011-0000-FFFF-FFFF06020000}">
      <tableStyleElement type="firstRowStripe" dxfId="1375"/>
      <tableStyleElement type="secondRowStripe" dxfId="1374"/>
    </tableStyle>
    <tableStyle name="Copy PRE FINAL 1.1-style 224" pivot="0" count="2" xr9:uid="{00000000-0011-0000-FFFF-FFFF07020000}">
      <tableStyleElement type="firstRowStripe" dxfId="1373"/>
      <tableStyleElement type="secondRowStripe" dxfId="1372"/>
    </tableStyle>
    <tableStyle name="Copy PRE FINAL 1.1-style 225" pivot="0" count="2" xr9:uid="{00000000-0011-0000-FFFF-FFFF08020000}">
      <tableStyleElement type="firstRowStripe" dxfId="1371"/>
      <tableStyleElement type="secondRowStripe" dxfId="1370"/>
    </tableStyle>
    <tableStyle name="Copy PRE FINAL 1.1-style 226" pivot="0" count="2" xr9:uid="{00000000-0011-0000-FFFF-FFFF09020000}">
      <tableStyleElement type="firstRowStripe" dxfId="1369"/>
      <tableStyleElement type="secondRowStripe" dxfId="1368"/>
    </tableStyle>
    <tableStyle name="Copy PRE FINAL 1.1-style 227" pivot="0" count="2" xr9:uid="{00000000-0011-0000-FFFF-FFFF0A020000}">
      <tableStyleElement type="firstRowStripe" dxfId="1367"/>
      <tableStyleElement type="secondRowStripe" dxfId="1366"/>
    </tableStyle>
    <tableStyle name="Copy PRE FINAL 1.1-style 228" pivot="0" count="2" xr9:uid="{00000000-0011-0000-FFFF-FFFF0B020000}">
      <tableStyleElement type="firstRowStripe" dxfId="1365"/>
      <tableStyleElement type="secondRowStripe" dxfId="1364"/>
    </tableStyle>
    <tableStyle name="Copy PRE FINAL 1.1-style 229" pivot="0" count="2" xr9:uid="{00000000-0011-0000-FFFF-FFFF0C020000}">
      <tableStyleElement type="firstRowStripe" dxfId="1363"/>
      <tableStyleElement type="secondRowStripe" dxfId="1362"/>
    </tableStyle>
    <tableStyle name="Copy PRE FINAL 1.1-style 230" pivot="0" count="2" xr9:uid="{00000000-0011-0000-FFFF-FFFF0D020000}">
      <tableStyleElement type="firstRowStripe" dxfId="1361"/>
      <tableStyleElement type="secondRowStripe" dxfId="1360"/>
    </tableStyle>
    <tableStyle name="Copy PRE FINAL 1.1-style 231" pivot="0" count="2" xr9:uid="{00000000-0011-0000-FFFF-FFFF0E020000}">
      <tableStyleElement type="firstRowStripe" dxfId="1359"/>
      <tableStyleElement type="secondRowStripe" dxfId="1358"/>
    </tableStyle>
    <tableStyle name="Copy PRE FINAL 1.1-style 232" pivot="0" count="2" xr9:uid="{00000000-0011-0000-FFFF-FFFF0F020000}">
      <tableStyleElement type="firstRowStripe" dxfId="1357"/>
      <tableStyleElement type="secondRowStripe" dxfId="1356"/>
    </tableStyle>
    <tableStyle name="Copy PRE FINAL 1.1-style 233" pivot="0" count="2" xr9:uid="{00000000-0011-0000-FFFF-FFFF10020000}">
      <tableStyleElement type="firstRowStripe" dxfId="1355"/>
      <tableStyleElement type="secondRowStripe" dxfId="1354"/>
    </tableStyle>
    <tableStyle name="Copy PRE FINAL 1.1-style 234" pivot="0" count="2" xr9:uid="{00000000-0011-0000-FFFF-FFFF11020000}">
      <tableStyleElement type="firstRowStripe" dxfId="1353"/>
      <tableStyleElement type="secondRowStripe" dxfId="1352"/>
    </tableStyle>
    <tableStyle name="Copy PRE FINAL 1.1-style 235" pivot="0" count="2" xr9:uid="{00000000-0011-0000-FFFF-FFFF12020000}">
      <tableStyleElement type="firstRowStripe" dxfId="1351"/>
      <tableStyleElement type="secondRowStripe" dxfId="1350"/>
    </tableStyle>
    <tableStyle name="Copy PRE FINAL 1.1-style 236" pivot="0" count="2" xr9:uid="{00000000-0011-0000-FFFF-FFFF13020000}">
      <tableStyleElement type="firstRowStripe" dxfId="1349"/>
      <tableStyleElement type="secondRowStripe" dxfId="1348"/>
    </tableStyle>
    <tableStyle name="Copy PRE FINAL 1.1-style 237" pivot="0" count="2" xr9:uid="{00000000-0011-0000-FFFF-FFFF14020000}">
      <tableStyleElement type="firstRowStripe" dxfId="1347"/>
      <tableStyleElement type="secondRowStripe" dxfId="1346"/>
    </tableStyle>
    <tableStyle name="Copy PRE FINAL 1.1-style 238" pivot="0" count="2" xr9:uid="{00000000-0011-0000-FFFF-FFFF15020000}">
      <tableStyleElement type="firstRowStripe" dxfId="1345"/>
      <tableStyleElement type="secondRowStripe" dxfId="1344"/>
    </tableStyle>
    <tableStyle name="Copy PRE FINAL 1.1-style 239" pivot="0" count="2" xr9:uid="{00000000-0011-0000-FFFF-FFFF16020000}">
      <tableStyleElement type="firstRowStripe" dxfId="1343"/>
      <tableStyleElement type="secondRowStripe" dxfId="1342"/>
    </tableStyle>
    <tableStyle name="Copy PRE FINAL 1.1-style 240" pivot="0" count="2" xr9:uid="{00000000-0011-0000-FFFF-FFFF17020000}">
      <tableStyleElement type="firstRowStripe" dxfId="1341"/>
      <tableStyleElement type="secondRowStripe" dxfId="1340"/>
    </tableStyle>
    <tableStyle name="Copy PRE FINAL 1.1-style 241" pivot="0" count="2" xr9:uid="{00000000-0011-0000-FFFF-FFFF18020000}">
      <tableStyleElement type="firstRowStripe" dxfId="1339"/>
      <tableStyleElement type="secondRowStripe" dxfId="1338"/>
    </tableStyle>
    <tableStyle name="Copy PRE FINAL 1.1-style 242" pivot="0" count="2" xr9:uid="{00000000-0011-0000-FFFF-FFFF19020000}">
      <tableStyleElement type="firstRowStripe" dxfId="1337"/>
      <tableStyleElement type="secondRowStripe" dxfId="1336"/>
    </tableStyle>
    <tableStyle name="Copy PRE FINAL 1.1-style 243" pivot="0" count="2" xr9:uid="{00000000-0011-0000-FFFF-FFFF1A020000}">
      <tableStyleElement type="firstRowStripe" dxfId="1335"/>
      <tableStyleElement type="secondRowStripe" dxfId="1334"/>
    </tableStyle>
    <tableStyle name="Copy PRE FINAL 1.1-style 244" pivot="0" count="2" xr9:uid="{00000000-0011-0000-FFFF-FFFF1B020000}">
      <tableStyleElement type="firstRowStripe" dxfId="1333"/>
      <tableStyleElement type="secondRowStripe" dxfId="1332"/>
    </tableStyle>
    <tableStyle name="Copy PRE FINAL 1.1-style 245" pivot="0" count="2" xr9:uid="{00000000-0011-0000-FFFF-FFFF1C020000}">
      <tableStyleElement type="firstRowStripe" dxfId="1331"/>
      <tableStyleElement type="secondRowStripe" dxfId="1330"/>
    </tableStyle>
    <tableStyle name="Copy PRE FINAL 1.1-style 246" pivot="0" count="2" xr9:uid="{00000000-0011-0000-FFFF-FFFF1D020000}">
      <tableStyleElement type="firstRowStripe" dxfId="1329"/>
      <tableStyleElement type="secondRowStripe" dxfId="1328"/>
    </tableStyle>
    <tableStyle name="Copy PRE FINAL 1.1-style 247" pivot="0" count="2" xr9:uid="{00000000-0011-0000-FFFF-FFFF1E020000}">
      <tableStyleElement type="firstRowStripe" dxfId="1327"/>
      <tableStyleElement type="secondRowStripe" dxfId="1326"/>
    </tableStyle>
    <tableStyle name="Copy PRE FINAL 1.1-style 248" pivot="0" count="2" xr9:uid="{00000000-0011-0000-FFFF-FFFF1F020000}">
      <tableStyleElement type="firstRowStripe" dxfId="1325"/>
      <tableStyleElement type="secondRowStripe" dxfId="1324"/>
    </tableStyle>
    <tableStyle name="Copy PRE FINAL 1.1-style 249" pivot="0" count="2" xr9:uid="{00000000-0011-0000-FFFF-FFFF20020000}">
      <tableStyleElement type="firstRowStripe" dxfId="1323"/>
      <tableStyleElement type="secondRowStripe" dxfId="1322"/>
    </tableStyle>
    <tableStyle name="Copy PRE FINAL 1.1-style 250" pivot="0" count="2" xr9:uid="{00000000-0011-0000-FFFF-FFFF21020000}">
      <tableStyleElement type="firstRowStripe" dxfId="1321"/>
      <tableStyleElement type="secondRowStripe" dxfId="1320"/>
    </tableStyle>
    <tableStyle name="Copy PRE FINAL 1.1-style 251" pivot="0" count="2" xr9:uid="{00000000-0011-0000-FFFF-FFFF22020000}">
      <tableStyleElement type="firstRowStripe" dxfId="1319"/>
      <tableStyleElement type="secondRowStripe" dxfId="1318"/>
    </tableStyle>
    <tableStyle name="Copy PRE FINAL 1.1-style 252" pivot="0" count="2" xr9:uid="{00000000-0011-0000-FFFF-FFFF23020000}">
      <tableStyleElement type="firstRowStripe" dxfId="1317"/>
      <tableStyleElement type="secondRowStripe" dxfId="1316"/>
    </tableStyle>
    <tableStyle name="Copy PRE FINAL 1.1-style 253" pivot="0" count="2" xr9:uid="{00000000-0011-0000-FFFF-FFFF24020000}">
      <tableStyleElement type="firstRowStripe" dxfId="1315"/>
      <tableStyleElement type="secondRowStripe" dxfId="1314"/>
    </tableStyle>
    <tableStyle name="Copy PRE FINAL 1.1-style 254" pivot="0" count="2" xr9:uid="{00000000-0011-0000-FFFF-FFFF25020000}">
      <tableStyleElement type="firstRowStripe" dxfId="1313"/>
      <tableStyleElement type="secondRowStripe" dxfId="1312"/>
    </tableStyle>
    <tableStyle name="Copy PRE FINAL 1.1-style 255" pivot="0" count="2" xr9:uid="{00000000-0011-0000-FFFF-FFFF26020000}">
      <tableStyleElement type="firstRowStripe" dxfId="1311"/>
      <tableStyleElement type="secondRowStripe" dxfId="1310"/>
    </tableStyle>
    <tableStyle name="PRE FINAL 1.3 (RELEVANT QUESTIO-style" pivot="0" count="4" xr9:uid="{00000000-0011-0000-FFFF-FFFF27020000}">
      <tableStyleElement type="wholeTable" size="0" dxfId="1309"/>
      <tableStyleElement type="headerRow" dxfId="1308"/>
      <tableStyleElement type="firstRowStripe" dxfId="1307"/>
      <tableStyleElement type="secondRowStripe" dxfId="1306"/>
    </tableStyle>
    <tableStyle name="PRE FINAL 1.3 (RELEVANT QUESTIO-style 2" pivot="0" count="2" xr9:uid="{00000000-0011-0000-FFFF-FFFF28020000}">
      <tableStyleElement type="firstRowStripe" dxfId="1305"/>
      <tableStyleElement type="secondRowStripe" dxfId="1304"/>
    </tableStyle>
    <tableStyle name="PRE FINAL 1.3 (RELEVANT QUESTIO-style 3" pivot="0" count="2" xr9:uid="{00000000-0011-0000-FFFF-FFFF29020000}">
      <tableStyleElement type="firstRowStripe" dxfId="1303"/>
      <tableStyleElement type="secondRowStripe" dxfId="1302"/>
    </tableStyle>
    <tableStyle name="PRE FINAL 1.3 (RELEVANT QUESTIO-style 4" pivot="0" count="2" xr9:uid="{00000000-0011-0000-FFFF-FFFF2A020000}">
      <tableStyleElement type="firstRowStripe" dxfId="1301"/>
      <tableStyleElement type="secondRowStripe" dxfId="1300"/>
    </tableStyle>
    <tableStyle name="PRE FINAL 1.3 (RELEVANT QUESTIO-style 5" pivot="0" count="2" xr9:uid="{00000000-0011-0000-FFFF-FFFF2B020000}">
      <tableStyleElement type="firstRowStripe" dxfId="1299"/>
      <tableStyleElement type="secondRowStripe" dxfId="1298"/>
    </tableStyle>
    <tableStyle name="PRE FINAL 1.3 (RELEVANT QUESTIO-style 6" pivot="0" count="2" xr9:uid="{00000000-0011-0000-FFFF-FFFF2C020000}">
      <tableStyleElement type="firstRowStripe" dxfId="1297"/>
      <tableStyleElement type="secondRowStripe" dxfId="1296"/>
    </tableStyle>
    <tableStyle name="PRE FINAL 1.3 (RELEVANT QUESTIO-style 7" pivot="0" count="2" xr9:uid="{00000000-0011-0000-FFFF-FFFF2D020000}">
      <tableStyleElement type="firstRowStripe" dxfId="1295"/>
      <tableStyleElement type="secondRowStripe" dxfId="1294"/>
    </tableStyle>
    <tableStyle name="PRE FINAL 1.3 (RELEVANT QUESTIO-style 8" pivot="0" count="2" xr9:uid="{00000000-0011-0000-FFFF-FFFF2E020000}">
      <tableStyleElement type="firstRowStripe" dxfId="1293"/>
      <tableStyleElement type="secondRowStripe" dxfId="1292"/>
    </tableStyle>
    <tableStyle name="PRE FINAL 1.3 (RELEVANT QUESTIO-style 9" pivot="0" count="2" xr9:uid="{00000000-0011-0000-FFFF-FFFF2F020000}">
      <tableStyleElement type="firstRowStripe" dxfId="1291"/>
      <tableStyleElement type="secondRowStripe" dxfId="1290"/>
    </tableStyle>
    <tableStyle name="PRE FINAL 1.3 (RELEVANT QUESTIO-style 10" pivot="0" count="2" xr9:uid="{00000000-0011-0000-FFFF-FFFF30020000}">
      <tableStyleElement type="firstRowStripe" dxfId="1289"/>
      <tableStyleElement type="secondRowStripe" dxfId="1288"/>
    </tableStyle>
    <tableStyle name="PRE FINAL 1.3 (RELEVANT QUESTIO-style 11" pivot="0" count="2" xr9:uid="{00000000-0011-0000-FFFF-FFFF31020000}">
      <tableStyleElement type="firstRowStripe" dxfId="1287"/>
      <tableStyleElement type="secondRowStripe" dxfId="1286"/>
    </tableStyle>
    <tableStyle name="PRE FINAL 1.3 (RELEVANT QUESTIO-style 12" pivot="0" count="2" xr9:uid="{00000000-0011-0000-FFFF-FFFF32020000}">
      <tableStyleElement type="firstRowStripe" dxfId="1285"/>
      <tableStyleElement type="secondRowStripe" dxfId="1284"/>
    </tableStyle>
    <tableStyle name="PRE FINAL 1.3 (RELEVANT QUESTIO-style 13" pivot="0" count="2" xr9:uid="{00000000-0011-0000-FFFF-FFFF33020000}">
      <tableStyleElement type="firstRowStripe" dxfId="1283"/>
      <tableStyleElement type="secondRowStripe" dxfId="1282"/>
    </tableStyle>
    <tableStyle name="PRE FINAL 1.3 (RELEVANT QUESTIO-style 14" pivot="0" count="2" xr9:uid="{00000000-0011-0000-FFFF-FFFF34020000}">
      <tableStyleElement type="firstRowStripe" dxfId="1281"/>
      <tableStyleElement type="secondRowStripe" dxfId="1280"/>
    </tableStyle>
    <tableStyle name="PRE FINAL 1.3 (RELEVANT QUESTIO-style 15" pivot="0" count="2" xr9:uid="{00000000-0011-0000-FFFF-FFFF35020000}">
      <tableStyleElement type="firstRowStripe" dxfId="1279"/>
      <tableStyleElement type="secondRowStripe" dxfId="1278"/>
    </tableStyle>
    <tableStyle name="PRE FINAL 1.3 (RELEVANT QUESTIO-style 16" pivot="0" count="2" xr9:uid="{00000000-0011-0000-FFFF-FFFF36020000}">
      <tableStyleElement type="firstRowStripe" dxfId="1277"/>
      <tableStyleElement type="secondRowStripe" dxfId="1276"/>
    </tableStyle>
    <tableStyle name="PRE FINAL 1.3 (RELEVANT QUESTIO-style 17" pivot="0" count="2" xr9:uid="{00000000-0011-0000-FFFF-FFFF37020000}">
      <tableStyleElement type="firstRowStripe" dxfId="1275"/>
      <tableStyleElement type="secondRowStripe" dxfId="1274"/>
    </tableStyle>
    <tableStyle name="PRE FINAL 1.3 (RELEVANT QUESTIO-style 18" pivot="0" count="2" xr9:uid="{00000000-0011-0000-FFFF-FFFF38020000}">
      <tableStyleElement type="firstRowStripe" dxfId="1273"/>
      <tableStyleElement type="secondRowStripe" dxfId="1272"/>
    </tableStyle>
    <tableStyle name="PRE FINAL 1.3 (RELEVANT QUESTIO-style 19" pivot="0" count="2" xr9:uid="{00000000-0011-0000-FFFF-FFFF39020000}">
      <tableStyleElement type="firstRowStripe" dxfId="1271"/>
      <tableStyleElement type="secondRowStripe" dxfId="1270"/>
    </tableStyle>
    <tableStyle name="PRE FINAL 1.3 (RELEVANT QUESTIO-style 20" pivot="0" count="2" xr9:uid="{00000000-0011-0000-FFFF-FFFF3A020000}">
      <tableStyleElement type="firstRowStripe" dxfId="1269"/>
      <tableStyleElement type="secondRowStripe" dxfId="1268"/>
    </tableStyle>
    <tableStyle name="PRE FINAL 1.3 (RELEVANT QUESTIO-style 21" pivot="0" count="2" xr9:uid="{00000000-0011-0000-FFFF-FFFF3B020000}">
      <tableStyleElement type="firstRowStripe" dxfId="1267"/>
      <tableStyleElement type="secondRowStripe" dxfId="1266"/>
    </tableStyle>
    <tableStyle name="PRE FINAL 1.3 (RELEVANT QUESTIO-style 22" pivot="0" count="2" xr9:uid="{00000000-0011-0000-FFFF-FFFF3C020000}">
      <tableStyleElement type="firstRowStripe" dxfId="1265"/>
      <tableStyleElement type="secondRowStripe" dxfId="1264"/>
    </tableStyle>
    <tableStyle name="PRE FINAL 1.3 (RELEVANT QUESTIO-style 23" pivot="0" count="2" xr9:uid="{00000000-0011-0000-FFFF-FFFF3D020000}">
      <tableStyleElement type="firstRowStripe" dxfId="1263"/>
      <tableStyleElement type="secondRowStripe" dxfId="1262"/>
    </tableStyle>
    <tableStyle name="PRE FINAL 1.3 (RELEVANT QUESTIO-style 24" pivot="0" count="2" xr9:uid="{00000000-0011-0000-FFFF-FFFF3E020000}">
      <tableStyleElement type="firstRowStripe" dxfId="1261"/>
      <tableStyleElement type="secondRowStripe" dxfId="1260"/>
    </tableStyle>
    <tableStyle name="PRE FINAL 1.3 (RELEVANT QUESTIO-style 25" pivot="0" count="2" xr9:uid="{00000000-0011-0000-FFFF-FFFF3F020000}">
      <tableStyleElement type="firstRowStripe" dxfId="1259"/>
      <tableStyleElement type="secondRowStripe" dxfId="1258"/>
    </tableStyle>
    <tableStyle name="PRE FINAL 1.3 (RELEVANT QUESTIO-style 26" pivot="0" count="2" xr9:uid="{00000000-0011-0000-FFFF-FFFF40020000}">
      <tableStyleElement type="firstRowStripe" dxfId="1257"/>
      <tableStyleElement type="secondRowStripe" dxfId="1256"/>
    </tableStyle>
    <tableStyle name="PRE FINAL 1.3 (RELEVANT QUESTIO-style 27" pivot="0" count="2" xr9:uid="{00000000-0011-0000-FFFF-FFFF41020000}">
      <tableStyleElement type="firstRowStripe" dxfId="1255"/>
      <tableStyleElement type="secondRowStripe" dxfId="1254"/>
    </tableStyle>
    <tableStyle name="PRE FINAL 1.3 (RELEVANT QUESTIO-style 28" pivot="0" count="2" xr9:uid="{00000000-0011-0000-FFFF-FFFF42020000}">
      <tableStyleElement type="firstRowStripe" dxfId="1253"/>
      <tableStyleElement type="secondRowStripe" dxfId="1252"/>
    </tableStyle>
    <tableStyle name="PRE FINAL 1.3 (RELEVANT QUESTIO-style 29" pivot="0" count="2" xr9:uid="{00000000-0011-0000-FFFF-FFFF43020000}">
      <tableStyleElement type="firstRowStripe" dxfId="1251"/>
      <tableStyleElement type="secondRowStripe" dxfId="1250"/>
    </tableStyle>
    <tableStyle name="PRE FINAL 1.3 (RELEVANT QUESTIO-style 30" pivot="0" count="2" xr9:uid="{00000000-0011-0000-FFFF-FFFF44020000}">
      <tableStyleElement type="firstRowStripe" dxfId="1249"/>
      <tableStyleElement type="secondRowStripe" dxfId="1248"/>
    </tableStyle>
    <tableStyle name="PRE FINAL 1.3 (RELEVANT QUESTIO-style 31" pivot="0" count="2" xr9:uid="{00000000-0011-0000-FFFF-FFFF45020000}">
      <tableStyleElement type="firstRowStripe" dxfId="1247"/>
      <tableStyleElement type="secondRowStripe" dxfId="1246"/>
    </tableStyle>
    <tableStyle name="PRE FINAL 1.3 (RELEVANT QUESTIO-style 32" pivot="0" count="2" xr9:uid="{00000000-0011-0000-FFFF-FFFF46020000}">
      <tableStyleElement type="firstRowStripe" dxfId="1245"/>
      <tableStyleElement type="secondRowStripe" dxfId="1244"/>
    </tableStyle>
    <tableStyle name="PRE FINAL 1.3 (RELEVANT QUESTIO-style 33" pivot="0" count="2" xr9:uid="{00000000-0011-0000-FFFF-FFFF47020000}">
      <tableStyleElement type="firstRowStripe" dxfId="1243"/>
      <tableStyleElement type="secondRowStripe" dxfId="1242"/>
    </tableStyle>
    <tableStyle name="PRE FINAL 1.3 (RELEVANT QUESTIO-style 34" pivot="0" count="2" xr9:uid="{00000000-0011-0000-FFFF-FFFF48020000}">
      <tableStyleElement type="firstRowStripe" dxfId="1241"/>
      <tableStyleElement type="secondRowStripe" dxfId="1240"/>
    </tableStyle>
    <tableStyle name="PRE FINAL 1.3 (RELEVANT QUESTIO-style 35" pivot="0" count="2" xr9:uid="{00000000-0011-0000-FFFF-FFFF49020000}">
      <tableStyleElement type="firstRowStripe" dxfId="1239"/>
      <tableStyleElement type="secondRowStripe" dxfId="1238"/>
    </tableStyle>
    <tableStyle name="PRE FINAL 1.3 (RELEVANT QUESTIO-style 36" pivot="0" count="2" xr9:uid="{00000000-0011-0000-FFFF-FFFF4A020000}">
      <tableStyleElement type="firstRowStripe" dxfId="1237"/>
      <tableStyleElement type="secondRowStripe" dxfId="1236"/>
    </tableStyle>
    <tableStyle name="PRE FINAL 1.3 (RELEVANT QUESTIO-style 37" pivot="0" count="2" xr9:uid="{00000000-0011-0000-FFFF-FFFF4B020000}">
      <tableStyleElement type="firstRowStripe" dxfId="1235"/>
      <tableStyleElement type="secondRowStripe" dxfId="1234"/>
    </tableStyle>
    <tableStyle name="PRE FINAL 1.3 (RELEVANT QUESTIO-style 38" pivot="0" count="2" xr9:uid="{00000000-0011-0000-FFFF-FFFF4C020000}">
      <tableStyleElement type="firstRowStripe" dxfId="1233"/>
      <tableStyleElement type="secondRowStripe" dxfId="1232"/>
    </tableStyle>
    <tableStyle name="PRE FINAL 1.3 (RELEVANT QUESTIO-style 39" pivot="0" count="2" xr9:uid="{00000000-0011-0000-FFFF-FFFF4D020000}">
      <tableStyleElement type="firstRowStripe" dxfId="1231"/>
      <tableStyleElement type="secondRowStripe" dxfId="1230"/>
    </tableStyle>
    <tableStyle name="PRE FINAL 1.3 (RELEVANT QUESTIO-style 40" pivot="0" count="2" xr9:uid="{00000000-0011-0000-FFFF-FFFF4E020000}">
      <tableStyleElement type="firstRowStripe" dxfId="1229"/>
      <tableStyleElement type="secondRowStripe" dxfId="1228"/>
    </tableStyle>
    <tableStyle name="PRE FINAL 1.3 (RELEVANT QUESTIO-style 41" pivot="0" count="2" xr9:uid="{00000000-0011-0000-FFFF-FFFF4F020000}">
      <tableStyleElement type="firstRowStripe" dxfId="1227"/>
      <tableStyleElement type="secondRowStripe" dxfId="1226"/>
    </tableStyle>
    <tableStyle name="PRE FINAL 1.3 (RELEVANT QUESTIO-style 42" pivot="0" count="2" xr9:uid="{00000000-0011-0000-FFFF-FFFF50020000}">
      <tableStyleElement type="firstRowStripe" dxfId="1225"/>
      <tableStyleElement type="secondRowStripe" dxfId="1224"/>
    </tableStyle>
    <tableStyle name="PRE FINAL 1.3 (RELEVANT QUESTIO-style 43" pivot="0" count="2" xr9:uid="{00000000-0011-0000-FFFF-FFFF51020000}">
      <tableStyleElement type="firstRowStripe" dxfId="1223"/>
      <tableStyleElement type="secondRowStripe" dxfId="1222"/>
    </tableStyle>
    <tableStyle name="PRE FINAL 1.3 (RELEVANT QUESTIO-style 44" pivot="0" count="2" xr9:uid="{00000000-0011-0000-FFFF-FFFF52020000}">
      <tableStyleElement type="firstRowStripe" dxfId="1221"/>
      <tableStyleElement type="secondRowStripe" dxfId="1220"/>
    </tableStyle>
    <tableStyle name="PRE FINAL 1.3 (RELEVANT QUESTIO-style 45" pivot="0" count="2" xr9:uid="{00000000-0011-0000-FFFF-FFFF53020000}">
      <tableStyleElement type="firstRowStripe" dxfId="1219"/>
      <tableStyleElement type="secondRowStripe" dxfId="1218"/>
    </tableStyle>
    <tableStyle name="PRE FINAL 1.3 (RELEVANT QUESTIO-style 46" pivot="0" count="2" xr9:uid="{00000000-0011-0000-FFFF-FFFF54020000}">
      <tableStyleElement type="firstRowStripe" dxfId="1217"/>
      <tableStyleElement type="secondRowStripe" dxfId="1216"/>
    </tableStyle>
    <tableStyle name="PRE FINAL 1.3 (RELEVANT QUESTIO-style 47" pivot="0" count="2" xr9:uid="{00000000-0011-0000-FFFF-FFFF55020000}">
      <tableStyleElement type="firstRowStripe" dxfId="1215"/>
      <tableStyleElement type="secondRowStripe" dxfId="1214"/>
    </tableStyle>
    <tableStyle name="PRE FINAL 1.3 (RELEVANT QUESTIO-style 48" pivot="0" count="2" xr9:uid="{00000000-0011-0000-FFFF-FFFF56020000}">
      <tableStyleElement type="firstRowStripe" dxfId="1213"/>
      <tableStyleElement type="secondRowStripe" dxfId="1212"/>
    </tableStyle>
    <tableStyle name="PRE FINAL 1.3 (RELEVANT QUESTIO-style 49" pivot="0" count="2" xr9:uid="{00000000-0011-0000-FFFF-FFFF57020000}">
      <tableStyleElement type="firstRowStripe" dxfId="1211"/>
      <tableStyleElement type="secondRowStripe" dxfId="1210"/>
    </tableStyle>
    <tableStyle name="PRE FINAL 1.3 (RELEVANT QUESTIO-style 50" pivot="0" count="2" xr9:uid="{00000000-0011-0000-FFFF-FFFF58020000}">
      <tableStyleElement type="firstRowStripe" dxfId="1209"/>
      <tableStyleElement type="secondRowStripe" dxfId="1208"/>
    </tableStyle>
    <tableStyle name="PRE FINAL 1.3 (RELEVANT QUESTIO-style 51" pivot="0" count="2" xr9:uid="{00000000-0011-0000-FFFF-FFFF59020000}">
      <tableStyleElement type="firstRowStripe" dxfId="1207"/>
      <tableStyleElement type="secondRowStripe" dxfId="1206"/>
    </tableStyle>
    <tableStyle name="PRE FINAL 1.3 (RELEVANT QUESTIO-style 52" pivot="0" count="2" xr9:uid="{00000000-0011-0000-FFFF-FFFF5A020000}">
      <tableStyleElement type="firstRowStripe" dxfId="1205"/>
      <tableStyleElement type="secondRowStripe" dxfId="1204"/>
    </tableStyle>
    <tableStyle name="PRE FINAL 1.3 (RELEVANT QUESTIO-style 53" pivot="0" count="2" xr9:uid="{00000000-0011-0000-FFFF-FFFF5B020000}">
      <tableStyleElement type="firstRowStripe" dxfId="1203"/>
      <tableStyleElement type="secondRowStripe" dxfId="1202"/>
    </tableStyle>
    <tableStyle name="PRE FINAL 1.3 (RELEVANT QUESTIO-style 54" pivot="0" count="2" xr9:uid="{00000000-0011-0000-FFFF-FFFF5C020000}">
      <tableStyleElement type="firstRowStripe" dxfId="1201"/>
      <tableStyleElement type="secondRowStripe" dxfId="1200"/>
    </tableStyle>
    <tableStyle name="PRE FINAL 1.3 (RELEVANT QUESTIO-style 55" pivot="0" count="2" xr9:uid="{00000000-0011-0000-FFFF-FFFF5D020000}">
      <tableStyleElement type="firstRowStripe" dxfId="1199"/>
      <tableStyleElement type="secondRowStripe" dxfId="1198"/>
    </tableStyle>
    <tableStyle name="PRE FINAL 1.3 (RELEVANT QUESTIO-style 56" pivot="0" count="2" xr9:uid="{00000000-0011-0000-FFFF-FFFF5E020000}">
      <tableStyleElement type="firstRowStripe" dxfId="1197"/>
      <tableStyleElement type="secondRowStripe" dxfId="1196"/>
    </tableStyle>
    <tableStyle name="PRE FINAL 1.3 (RELEVANT QUESTIO-style 57" pivot="0" count="2" xr9:uid="{00000000-0011-0000-FFFF-FFFF5F020000}">
      <tableStyleElement type="firstRowStripe" dxfId="1195"/>
      <tableStyleElement type="secondRowStripe" dxfId="1194"/>
    </tableStyle>
    <tableStyle name="PRE FINAL 1.3 (RELEVANT QUESTIO-style 58" pivot="0" count="2" xr9:uid="{00000000-0011-0000-FFFF-FFFF60020000}">
      <tableStyleElement type="firstRowStripe" dxfId="1193"/>
      <tableStyleElement type="secondRowStripe" dxfId="1192"/>
    </tableStyle>
    <tableStyle name="PRE FINAL 1.3 (RELEVANT QUESTIO-style 59" pivot="0" count="2" xr9:uid="{00000000-0011-0000-FFFF-FFFF61020000}">
      <tableStyleElement type="firstRowStripe" dxfId="1191"/>
      <tableStyleElement type="secondRowStripe" dxfId="1190"/>
    </tableStyle>
    <tableStyle name="PRE FINAL 1.3 (RELEVANT QUESTIO-style 60" pivot="0" count="2" xr9:uid="{00000000-0011-0000-FFFF-FFFF62020000}">
      <tableStyleElement type="firstRowStripe" dxfId="1189"/>
      <tableStyleElement type="secondRowStripe" dxfId="1188"/>
    </tableStyle>
    <tableStyle name="PRE FINAL 1.3 (RELEVANT QUESTIO-style 61" pivot="0" count="2" xr9:uid="{00000000-0011-0000-FFFF-FFFF63020000}">
      <tableStyleElement type="firstRowStripe" dxfId="1187"/>
      <tableStyleElement type="secondRowStripe" dxfId="1186"/>
    </tableStyle>
    <tableStyle name="PRE FINAL 1.3 (RELEVANT QUESTIO-style 62" pivot="0" count="2" xr9:uid="{00000000-0011-0000-FFFF-FFFF64020000}">
      <tableStyleElement type="firstRowStripe" dxfId="1185"/>
      <tableStyleElement type="secondRowStripe" dxfId="1184"/>
    </tableStyle>
    <tableStyle name="PRE FINAL 1.3 (RELEVANT QUESTIO-style 63" pivot="0" count="2" xr9:uid="{00000000-0011-0000-FFFF-FFFF65020000}">
      <tableStyleElement type="firstRowStripe" dxfId="1183"/>
      <tableStyleElement type="secondRowStripe" dxfId="1182"/>
    </tableStyle>
    <tableStyle name="PRE FINAL 1.3 (RELEVANT QUESTIO-style 64" pivot="0" count="2" xr9:uid="{00000000-0011-0000-FFFF-FFFF66020000}">
      <tableStyleElement type="firstRowStripe" dxfId="1181"/>
      <tableStyleElement type="secondRowStripe" dxfId="1180"/>
    </tableStyle>
    <tableStyle name="PRE FINAL 1.3 (RELEVANT QUESTIO-style 65" pivot="0" count="2" xr9:uid="{00000000-0011-0000-FFFF-FFFF67020000}">
      <tableStyleElement type="firstRowStripe" dxfId="1179"/>
      <tableStyleElement type="secondRowStripe" dxfId="1178"/>
    </tableStyle>
    <tableStyle name="PRE FINAL 1.3 (RELEVANT QUESTIO-style 66" pivot="0" count="2" xr9:uid="{00000000-0011-0000-FFFF-FFFF68020000}">
      <tableStyleElement type="firstRowStripe" dxfId="1177"/>
      <tableStyleElement type="secondRowStripe" dxfId="1176"/>
    </tableStyle>
    <tableStyle name="PRE FINAL 1.3 (RELEVANT QUESTIO-style 67" pivot="0" count="2" xr9:uid="{00000000-0011-0000-FFFF-FFFF69020000}">
      <tableStyleElement type="firstRowStripe" dxfId="1175"/>
      <tableStyleElement type="secondRowStripe" dxfId="1174"/>
    </tableStyle>
    <tableStyle name="PRE FINAL 1.3 (RELEVANT QUESTIO-style 68" pivot="0" count="2" xr9:uid="{00000000-0011-0000-FFFF-FFFF6A020000}">
      <tableStyleElement type="firstRowStripe" dxfId="1173"/>
      <tableStyleElement type="secondRowStripe" dxfId="1172"/>
    </tableStyle>
    <tableStyle name="PRE FINAL 1.3 (RELEVANT QUESTIO-style 69" pivot="0" count="2" xr9:uid="{00000000-0011-0000-FFFF-FFFF6B020000}">
      <tableStyleElement type="firstRowStripe" dxfId="1171"/>
      <tableStyleElement type="secondRowStripe" dxfId="1170"/>
    </tableStyle>
    <tableStyle name="PRE FINAL 1.3 (RELEVANT QUESTIO-style 70" pivot="0" count="2" xr9:uid="{00000000-0011-0000-FFFF-FFFF6C020000}">
      <tableStyleElement type="firstRowStripe" dxfId="1169"/>
      <tableStyleElement type="secondRowStripe" dxfId="1168"/>
    </tableStyle>
    <tableStyle name="PRE FINAL 1.3 (RELEVANT QUESTIO-style 71" pivot="0" count="2" xr9:uid="{00000000-0011-0000-FFFF-FFFF6D020000}">
      <tableStyleElement type="firstRowStripe" dxfId="1167"/>
      <tableStyleElement type="secondRowStripe" dxfId="1166"/>
    </tableStyle>
    <tableStyle name="PRE FINAL 1.3 (RELEVANT QUESTIO-style 72" pivot="0" count="2" xr9:uid="{00000000-0011-0000-FFFF-FFFF6E020000}">
      <tableStyleElement type="firstRowStripe" dxfId="1165"/>
      <tableStyleElement type="secondRowStripe" dxfId="1164"/>
    </tableStyle>
    <tableStyle name="PRE FINAL 1.3 (RELEVANT QUESTIO-style 73" pivot="0" count="2" xr9:uid="{00000000-0011-0000-FFFF-FFFF6F020000}">
      <tableStyleElement type="firstRowStripe" dxfId="1163"/>
      <tableStyleElement type="secondRowStripe" dxfId="1162"/>
    </tableStyle>
    <tableStyle name="PRE FINAL 1.3 (RELEVANT QUESTIO-style 74" pivot="0" count="2" xr9:uid="{00000000-0011-0000-FFFF-FFFF70020000}">
      <tableStyleElement type="firstRowStripe" dxfId="1161"/>
      <tableStyleElement type="secondRowStripe" dxfId="1160"/>
    </tableStyle>
    <tableStyle name="PRE FINAL 1.3 (RELEVANT QUESTIO-style 75" pivot="0" count="2" xr9:uid="{00000000-0011-0000-FFFF-FFFF71020000}">
      <tableStyleElement type="firstRowStripe" dxfId="1159"/>
      <tableStyleElement type="secondRowStripe" dxfId="1158"/>
    </tableStyle>
    <tableStyle name="PRE FINAL 1.3 (RELEVANT QUESTIO-style 76" pivot="0" count="2" xr9:uid="{00000000-0011-0000-FFFF-FFFF72020000}">
      <tableStyleElement type="firstRowStripe" dxfId="1157"/>
      <tableStyleElement type="secondRowStripe" dxfId="1156"/>
    </tableStyle>
    <tableStyle name="PRE FINAL 1.3 (RELEVANT QUESTIO-style 77" pivot="0" count="2" xr9:uid="{00000000-0011-0000-FFFF-FFFF73020000}">
      <tableStyleElement type="firstRowStripe" dxfId="1155"/>
      <tableStyleElement type="secondRowStripe" dxfId="1154"/>
    </tableStyle>
    <tableStyle name="PRE FINAL 1.3 (RELEVANT QUESTIO-style 78" pivot="0" count="2" xr9:uid="{00000000-0011-0000-FFFF-FFFF74020000}">
      <tableStyleElement type="firstRowStripe" dxfId="1153"/>
      <tableStyleElement type="secondRowStripe" dxfId="1152"/>
    </tableStyle>
    <tableStyle name="PRE FINAL 1.3 (RELEVANT QUESTIO-style 79" pivot="0" count="2" xr9:uid="{00000000-0011-0000-FFFF-FFFF75020000}">
      <tableStyleElement type="firstRowStripe" dxfId="1151"/>
      <tableStyleElement type="secondRowStripe" dxfId="1150"/>
    </tableStyle>
    <tableStyle name="PRE FINAL 1.3 (RELEVANT QUESTIO-style 80" pivot="0" count="2" xr9:uid="{00000000-0011-0000-FFFF-FFFF76020000}">
      <tableStyleElement type="firstRowStripe" dxfId="1149"/>
      <tableStyleElement type="secondRowStripe" dxfId="1148"/>
    </tableStyle>
    <tableStyle name="PRE FINAL 1.3 (RELEVANT QUESTIO-style 81" pivot="0" count="2" xr9:uid="{00000000-0011-0000-FFFF-FFFF77020000}">
      <tableStyleElement type="firstRowStripe" dxfId="1147"/>
      <tableStyleElement type="secondRowStripe" dxfId="1146"/>
    </tableStyle>
    <tableStyle name="PRE FINAL 1.3 (RELEVANT QUESTIO-style 82" pivot="0" count="2" xr9:uid="{00000000-0011-0000-FFFF-FFFF78020000}">
      <tableStyleElement type="firstRowStripe" dxfId="1145"/>
      <tableStyleElement type="secondRowStripe" dxfId="1144"/>
    </tableStyle>
    <tableStyle name="PRE FINAL 1.3 (RELEVANT QUESTIO-style 83" pivot="0" count="2" xr9:uid="{00000000-0011-0000-FFFF-FFFF79020000}">
      <tableStyleElement type="firstRowStripe" dxfId="1143"/>
      <tableStyleElement type="secondRowStripe" dxfId="1142"/>
    </tableStyle>
    <tableStyle name="PRE FINAL 1.3 (RELEVANT QUESTIO-style 84" pivot="0" count="2" xr9:uid="{00000000-0011-0000-FFFF-FFFF7A020000}">
      <tableStyleElement type="firstRowStripe" dxfId="1141"/>
      <tableStyleElement type="secondRowStripe" dxfId="1140"/>
    </tableStyle>
    <tableStyle name="PRE FINAL 1.3 (RELEVANT QUESTIO-style 85" pivot="0" count="2" xr9:uid="{00000000-0011-0000-FFFF-FFFF7B020000}">
      <tableStyleElement type="firstRowStripe" dxfId="1139"/>
      <tableStyleElement type="secondRowStripe" dxfId="1138"/>
    </tableStyle>
    <tableStyle name="PRE FINAL 1.3 (RELEVANT QUESTIO-style 86" pivot="0" count="2" xr9:uid="{00000000-0011-0000-FFFF-FFFF7C020000}">
      <tableStyleElement type="firstRowStripe" dxfId="1137"/>
      <tableStyleElement type="secondRowStripe" dxfId="1136"/>
    </tableStyle>
    <tableStyle name="PRE FINAL 1.3 (RELEVANT QUESTIO-style 87" pivot="0" count="2" xr9:uid="{00000000-0011-0000-FFFF-FFFF7D020000}">
      <tableStyleElement type="firstRowStripe" dxfId="1135"/>
      <tableStyleElement type="secondRowStripe" dxfId="1134"/>
    </tableStyle>
    <tableStyle name="PRE FINAL 1.3 (RELEVANT QUESTIO-style 88" pivot="0" count="2" xr9:uid="{00000000-0011-0000-FFFF-FFFF7E020000}">
      <tableStyleElement type="firstRowStripe" dxfId="1133"/>
      <tableStyleElement type="secondRowStripe" dxfId="1132"/>
    </tableStyle>
    <tableStyle name="PRE FINAL 1.3 (RELEVANT QUESTIO-style 89" pivot="0" count="2" xr9:uid="{00000000-0011-0000-FFFF-FFFF7F020000}">
      <tableStyleElement type="firstRowStripe" dxfId="1131"/>
      <tableStyleElement type="secondRowStripe" dxfId="1130"/>
    </tableStyle>
    <tableStyle name="PRE FINAL 1.3 (RELEVANT QUESTIO-style 90" pivot="0" count="2" xr9:uid="{00000000-0011-0000-FFFF-FFFF80020000}">
      <tableStyleElement type="firstRowStripe" dxfId="1129"/>
      <tableStyleElement type="secondRowStripe" dxfId="1128"/>
    </tableStyle>
    <tableStyle name="PRE FINAL 1.3 (RELEVANT QUESTIO-style 91" pivot="0" count="2" xr9:uid="{00000000-0011-0000-FFFF-FFFF81020000}">
      <tableStyleElement type="firstRowStripe" dxfId="1127"/>
      <tableStyleElement type="secondRowStripe" dxfId="1126"/>
    </tableStyle>
    <tableStyle name="PRE FINAL 1.3 (RELEVANT QUESTIO-style 92" pivot="0" count="2" xr9:uid="{00000000-0011-0000-FFFF-FFFF82020000}">
      <tableStyleElement type="firstRowStripe" dxfId="1125"/>
      <tableStyleElement type="secondRowStripe" dxfId="1124"/>
    </tableStyle>
    <tableStyle name="PRE FINAL 1.3 (RELEVANT QUESTIO-style 93" pivot="0" count="2" xr9:uid="{00000000-0011-0000-FFFF-FFFF83020000}">
      <tableStyleElement type="firstRowStripe" dxfId="1123"/>
      <tableStyleElement type="secondRowStripe" dxfId="1122"/>
    </tableStyle>
    <tableStyle name="PRE FINAL 1.3 (RELEVANT QUESTIO-style 94" pivot="0" count="2" xr9:uid="{00000000-0011-0000-FFFF-FFFF84020000}">
      <tableStyleElement type="firstRowStripe" dxfId="1121"/>
      <tableStyleElement type="secondRowStripe" dxfId="1120"/>
    </tableStyle>
    <tableStyle name="PRE FINAL 1.3 (RELEVANT QUESTIO-style 95" pivot="0" count="2" xr9:uid="{00000000-0011-0000-FFFF-FFFF85020000}">
      <tableStyleElement type="firstRowStripe" dxfId="1119"/>
      <tableStyleElement type="secondRowStripe" dxfId="1118"/>
    </tableStyle>
    <tableStyle name="PRE FINAL 1.3 (RELEVANT QUESTIO-style 96" pivot="0" count="2" xr9:uid="{00000000-0011-0000-FFFF-FFFF86020000}">
      <tableStyleElement type="firstRowStripe" dxfId="1117"/>
      <tableStyleElement type="secondRowStripe" dxfId="1116"/>
    </tableStyle>
    <tableStyle name="PRE FINAL 1.3 (RELEVANT QUESTIO-style 97" pivot="0" count="2" xr9:uid="{00000000-0011-0000-FFFF-FFFF87020000}">
      <tableStyleElement type="firstRowStripe" dxfId="1115"/>
      <tableStyleElement type="secondRowStripe" dxfId="1114"/>
    </tableStyle>
    <tableStyle name="PRE FINAL 1.3 (RELEVANT QUESTIO-style 98" pivot="0" count="2" xr9:uid="{00000000-0011-0000-FFFF-FFFF88020000}">
      <tableStyleElement type="firstRowStripe" dxfId="1113"/>
      <tableStyleElement type="secondRowStripe" dxfId="1112"/>
    </tableStyle>
    <tableStyle name="PRE FINAL 1.3 (RELEVANT QUESTIO-style 99" pivot="0" count="2" xr9:uid="{00000000-0011-0000-FFFF-FFFF89020000}">
      <tableStyleElement type="firstRowStripe" dxfId="1111"/>
      <tableStyleElement type="secondRowStripe" dxfId="1110"/>
    </tableStyle>
    <tableStyle name="PRE FINAL 1.3 (RELEVANT QUESTIO-style 100" pivot="0" count="2" xr9:uid="{00000000-0011-0000-FFFF-FFFF8A020000}">
      <tableStyleElement type="firstRowStripe" dxfId="1109"/>
      <tableStyleElement type="secondRowStripe" dxfId="1108"/>
    </tableStyle>
    <tableStyle name="PRE FINAL 1.3 (RELEVANT QUESTIO-style 101" pivot="0" count="2" xr9:uid="{00000000-0011-0000-FFFF-FFFF8B020000}">
      <tableStyleElement type="firstRowStripe" dxfId="1107"/>
      <tableStyleElement type="secondRowStripe" dxfId="1106"/>
    </tableStyle>
    <tableStyle name="PRE FINAL 1.3 (RELEVANT QUESTIO-style 102" pivot="0" count="2" xr9:uid="{00000000-0011-0000-FFFF-FFFF8C020000}">
      <tableStyleElement type="firstRowStripe" dxfId="1105"/>
      <tableStyleElement type="secondRowStripe" dxfId="1104"/>
    </tableStyle>
    <tableStyle name="PRE FINAL 1.3 (RELEVANT QUESTIO-style 103" pivot="0" count="2" xr9:uid="{00000000-0011-0000-FFFF-FFFF8D020000}">
      <tableStyleElement type="firstRowStripe" dxfId="1103"/>
      <tableStyleElement type="secondRowStripe" dxfId="1102"/>
    </tableStyle>
    <tableStyle name="PRE FINAL 1.3 (RELEVANT QUESTIO-style 104" pivot="0" count="2" xr9:uid="{00000000-0011-0000-FFFF-FFFF8E020000}">
      <tableStyleElement type="firstRowStripe" dxfId="1101"/>
      <tableStyleElement type="secondRowStripe" dxfId="1100"/>
    </tableStyle>
    <tableStyle name="PRE FINAL 1.3 (RELEVANT QUESTIO-style 105" pivot="0" count="2" xr9:uid="{00000000-0011-0000-FFFF-FFFF8F020000}">
      <tableStyleElement type="firstRowStripe" dxfId="1099"/>
      <tableStyleElement type="secondRowStripe" dxfId="1098"/>
    </tableStyle>
    <tableStyle name="PRE FINAL 1.3 (RELEVANT QUESTIO-style 106" pivot="0" count="2" xr9:uid="{00000000-0011-0000-FFFF-FFFF90020000}">
      <tableStyleElement type="firstRowStripe" dxfId="1097"/>
      <tableStyleElement type="secondRowStripe" dxfId="1096"/>
    </tableStyle>
    <tableStyle name="PRE FINAL 1.3 (RELEVANT QUESTIO-style 107" pivot="0" count="2" xr9:uid="{00000000-0011-0000-FFFF-FFFF91020000}">
      <tableStyleElement type="firstRowStripe" dxfId="1095"/>
      <tableStyleElement type="secondRowStripe" dxfId="1094"/>
    </tableStyle>
    <tableStyle name="PRE FINAL 1.3 (RELEVANT QUESTIO-style 108" pivot="0" count="2" xr9:uid="{00000000-0011-0000-FFFF-FFFF92020000}">
      <tableStyleElement type="firstRowStripe" dxfId="1093"/>
      <tableStyleElement type="secondRowStripe" dxfId="1092"/>
    </tableStyle>
    <tableStyle name="PRE FINAL 1.3 (RELEVANT QUESTIO-style 109" pivot="0" count="2" xr9:uid="{00000000-0011-0000-FFFF-FFFF93020000}">
      <tableStyleElement type="firstRowStripe" dxfId="1091"/>
      <tableStyleElement type="secondRowStripe" dxfId="1090"/>
    </tableStyle>
    <tableStyle name="PRE FINAL 1.3 (RELEVANT QUESTIO-style 110" pivot="0" count="2" xr9:uid="{00000000-0011-0000-FFFF-FFFF94020000}">
      <tableStyleElement type="firstRowStripe" dxfId="1089"/>
      <tableStyleElement type="secondRowStripe" dxfId="1088"/>
    </tableStyle>
    <tableStyle name="PRE FINAL 1.3 (RELEVANT QUESTIO-style 111" pivot="0" count="2" xr9:uid="{00000000-0011-0000-FFFF-FFFF95020000}">
      <tableStyleElement type="firstRowStripe" dxfId="1087"/>
      <tableStyleElement type="secondRowStripe" dxfId="1086"/>
    </tableStyle>
    <tableStyle name="PRE FINAL 1.3 (RELEVANT QUESTIO-style 112" pivot="0" count="2" xr9:uid="{00000000-0011-0000-FFFF-FFFF96020000}">
      <tableStyleElement type="firstRowStripe" dxfId="1085"/>
      <tableStyleElement type="secondRowStripe" dxfId="1084"/>
    </tableStyle>
    <tableStyle name="PRE FINAL 1.3 (RELEVANT QUESTIO-style 113" pivot="0" count="2" xr9:uid="{00000000-0011-0000-FFFF-FFFF97020000}">
      <tableStyleElement type="firstRowStripe" dxfId="1083"/>
      <tableStyleElement type="secondRowStripe" dxfId="1082"/>
    </tableStyle>
    <tableStyle name="PRE FINAL 1.3 (RELEVANT QUESTIO-style 114" pivot="0" count="2" xr9:uid="{00000000-0011-0000-FFFF-FFFF98020000}">
      <tableStyleElement type="firstRowStripe" dxfId="1081"/>
      <tableStyleElement type="secondRowStripe" dxfId="1080"/>
    </tableStyle>
    <tableStyle name="PRE FINAL 1.3 (RELEVANT QUESTIO-style 115" pivot="0" count="2" xr9:uid="{00000000-0011-0000-FFFF-FFFF99020000}">
      <tableStyleElement type="firstRowStripe" dxfId="1079"/>
      <tableStyleElement type="secondRowStripe" dxfId="1078"/>
    </tableStyle>
    <tableStyle name="PRE FINAL 1.3 (RELEVANT QUESTIO-style 116" pivot="0" count="2" xr9:uid="{00000000-0011-0000-FFFF-FFFF9A020000}">
      <tableStyleElement type="firstRowStripe" dxfId="1077"/>
      <tableStyleElement type="secondRowStripe" dxfId="1076"/>
    </tableStyle>
    <tableStyle name="PRE FINAL 1.3 (RELEVANT QUESTIO-style 117" pivot="0" count="2" xr9:uid="{00000000-0011-0000-FFFF-FFFF9B020000}">
      <tableStyleElement type="firstRowStripe" dxfId="1075"/>
      <tableStyleElement type="secondRowStripe" dxfId="1074"/>
    </tableStyle>
    <tableStyle name="PRE FINAL 1.3 (RELEVANT QUESTIO-style 118" pivot="0" count="2" xr9:uid="{00000000-0011-0000-FFFF-FFFF9C020000}">
      <tableStyleElement type="firstRowStripe" dxfId="1073"/>
      <tableStyleElement type="secondRowStripe" dxfId="1072"/>
    </tableStyle>
    <tableStyle name="PRE FINAL 1.3 (RELEVANT QUESTIO-style 119" pivot="0" count="2" xr9:uid="{00000000-0011-0000-FFFF-FFFF9D020000}">
      <tableStyleElement type="firstRowStripe" dxfId="1071"/>
      <tableStyleElement type="secondRowStripe" dxfId="1070"/>
    </tableStyle>
    <tableStyle name="PRE FINAL 1.3 (RELEVANT QUESTIO-style 120" pivot="0" count="2" xr9:uid="{00000000-0011-0000-FFFF-FFFF9E020000}">
      <tableStyleElement type="firstRowStripe" dxfId="1069"/>
      <tableStyleElement type="secondRowStripe" dxfId="1068"/>
    </tableStyle>
    <tableStyle name="PRE FINAL 1.3 (RELEVANT QUESTIO-style 121" pivot="0" count="2" xr9:uid="{00000000-0011-0000-FFFF-FFFF9F020000}">
      <tableStyleElement type="firstRowStripe" dxfId="1067"/>
      <tableStyleElement type="secondRowStripe" dxfId="1066"/>
    </tableStyle>
    <tableStyle name="PRE FINAL 1.3 (RELEVANT QUESTIO-style 122" pivot="0" count="2" xr9:uid="{00000000-0011-0000-FFFF-FFFFA0020000}">
      <tableStyleElement type="firstRowStripe" dxfId="1065"/>
      <tableStyleElement type="secondRowStripe" dxfId="1064"/>
    </tableStyle>
    <tableStyle name="PRE FINAL 1.3 (RELEVANT QUESTIO-style 123" pivot="0" count="2" xr9:uid="{00000000-0011-0000-FFFF-FFFFA1020000}">
      <tableStyleElement type="firstRowStripe" dxfId="1063"/>
      <tableStyleElement type="secondRowStripe" dxfId="1062"/>
    </tableStyle>
    <tableStyle name="PRE FINAL 1.3 (RELEVANT QUESTIO-style 124" pivot="0" count="2" xr9:uid="{00000000-0011-0000-FFFF-FFFFA2020000}">
      <tableStyleElement type="firstRowStripe" dxfId="1061"/>
      <tableStyleElement type="secondRowStripe" dxfId="1060"/>
    </tableStyle>
    <tableStyle name="PRE FINAL 1.3 (RELEVANT QUESTIO-style 125" pivot="0" count="2" xr9:uid="{00000000-0011-0000-FFFF-FFFFA3020000}">
      <tableStyleElement type="firstRowStripe" dxfId="1059"/>
      <tableStyleElement type="secondRowStripe" dxfId="1058"/>
    </tableStyle>
    <tableStyle name="PRE FINAL 1.3 (RELEVANT QUESTIO-style 126" pivot="0" count="2" xr9:uid="{00000000-0011-0000-FFFF-FFFFA4020000}">
      <tableStyleElement type="firstRowStripe" dxfId="1057"/>
      <tableStyleElement type="secondRowStripe" dxfId="1056"/>
    </tableStyle>
    <tableStyle name="PRE FINAL 1.3 (RELEVANT QUESTIO-style 127" pivot="0" count="2" xr9:uid="{00000000-0011-0000-FFFF-FFFFA5020000}">
      <tableStyleElement type="firstRowStripe" dxfId="1055"/>
      <tableStyleElement type="secondRowStripe" dxfId="1054"/>
    </tableStyle>
    <tableStyle name="PRE FINAL 1.3 (RELEVANT QUESTIO-style 128" pivot="0" count="2" xr9:uid="{00000000-0011-0000-FFFF-FFFFA6020000}">
      <tableStyleElement type="firstRowStripe" dxfId="1053"/>
      <tableStyleElement type="secondRowStripe" dxfId="1052"/>
    </tableStyle>
    <tableStyle name="PRE FINAL 1.3 (RELEVANT QUESTIO-style 129" pivot="0" count="2" xr9:uid="{00000000-0011-0000-FFFF-FFFFA7020000}">
      <tableStyleElement type="firstRowStripe" dxfId="1051"/>
      <tableStyleElement type="secondRowStripe" dxfId="1050"/>
    </tableStyle>
    <tableStyle name="PRE FINAL 1.3 (RELEVANT QUESTIO-style 130" pivot="0" count="2" xr9:uid="{00000000-0011-0000-FFFF-FFFFA8020000}">
      <tableStyleElement type="firstRowStripe" dxfId="1049"/>
      <tableStyleElement type="secondRowStripe" dxfId="1048"/>
    </tableStyle>
    <tableStyle name="PRE FINAL 1.3 (RELEVANT QUESTIO-style 131" pivot="0" count="2" xr9:uid="{00000000-0011-0000-FFFF-FFFFA9020000}">
      <tableStyleElement type="firstRowStripe" dxfId="1047"/>
      <tableStyleElement type="secondRowStripe" dxfId="1046"/>
    </tableStyle>
    <tableStyle name="PRE FINAL 1.3 (RELEVANT QUESTIO-style 132" pivot="0" count="2" xr9:uid="{00000000-0011-0000-FFFF-FFFFAA020000}">
      <tableStyleElement type="firstRowStripe" dxfId="1045"/>
      <tableStyleElement type="secondRowStripe" dxfId="1044"/>
    </tableStyle>
    <tableStyle name="PRE FINAL 1.3 (RELEVANT QUESTIO-style 133" pivot="0" count="2" xr9:uid="{00000000-0011-0000-FFFF-FFFFAB020000}">
      <tableStyleElement type="firstRowStripe" dxfId="1043"/>
      <tableStyleElement type="secondRowStripe" dxfId="1042"/>
    </tableStyle>
    <tableStyle name="PRE FINAL 1.3 (RELEVANT QUESTIO-style 134" pivot="0" count="2" xr9:uid="{00000000-0011-0000-FFFF-FFFFAC020000}">
      <tableStyleElement type="firstRowStripe" dxfId="1041"/>
      <tableStyleElement type="secondRowStripe" dxfId="1040"/>
    </tableStyle>
    <tableStyle name="PRE FINAL 1.3 (RELEVANT QUESTIO-style 135" pivot="0" count="2" xr9:uid="{00000000-0011-0000-FFFF-FFFFAD020000}">
      <tableStyleElement type="firstRowStripe" dxfId="1039"/>
      <tableStyleElement type="secondRowStripe" dxfId="1038"/>
    </tableStyle>
    <tableStyle name="PRE FINAL 1.3 (RELEVANT QUESTIO-style 136" pivot="0" count="2" xr9:uid="{00000000-0011-0000-FFFF-FFFFAE020000}">
      <tableStyleElement type="firstRowStripe" dxfId="1037"/>
      <tableStyleElement type="secondRowStripe" dxfId="1036"/>
    </tableStyle>
    <tableStyle name="PRE FINAL 1.3 (RELEVANT QUESTIO-style 137" pivot="0" count="2" xr9:uid="{00000000-0011-0000-FFFF-FFFFAF020000}">
      <tableStyleElement type="firstRowStripe" dxfId="1035"/>
      <tableStyleElement type="secondRowStripe" dxfId="1034"/>
    </tableStyle>
    <tableStyle name="PRE FINAL 1.3 (RELEVANT QUESTIO-style 138" pivot="0" count="2" xr9:uid="{00000000-0011-0000-FFFF-FFFFB0020000}">
      <tableStyleElement type="firstRowStripe" dxfId="1033"/>
      <tableStyleElement type="secondRowStripe" dxfId="1032"/>
    </tableStyle>
    <tableStyle name="PRE FINAL 1.3 (RELEVANT QUESTIO-style 139" pivot="0" count="2" xr9:uid="{00000000-0011-0000-FFFF-FFFFB1020000}">
      <tableStyleElement type="firstRowStripe" dxfId="1031"/>
      <tableStyleElement type="secondRowStripe" dxfId="1030"/>
    </tableStyle>
    <tableStyle name="PRE FINAL 1.3 (RELEVANT QUESTIO-style 140" pivot="0" count="2" xr9:uid="{00000000-0011-0000-FFFF-FFFFB2020000}">
      <tableStyleElement type="firstRowStripe" dxfId="1029"/>
      <tableStyleElement type="secondRowStripe" dxfId="1028"/>
    </tableStyle>
    <tableStyle name="PRE FINAL 1.3 (RELEVANT QUESTIO-style 141" pivot="0" count="2" xr9:uid="{00000000-0011-0000-FFFF-FFFFB3020000}">
      <tableStyleElement type="firstRowStripe" dxfId="1027"/>
      <tableStyleElement type="secondRowStripe" dxfId="1026"/>
    </tableStyle>
    <tableStyle name="PRE FINAL 1.3 (RELEVANT QUESTIO-style 142" pivot="0" count="2" xr9:uid="{00000000-0011-0000-FFFF-FFFFB4020000}">
      <tableStyleElement type="firstRowStripe" dxfId="1025"/>
      <tableStyleElement type="secondRowStripe" dxfId="1024"/>
    </tableStyle>
    <tableStyle name="PRE FINAL 1.3 (RELEVANT QUESTIO-style 143" pivot="0" count="2" xr9:uid="{00000000-0011-0000-FFFF-FFFFB5020000}">
      <tableStyleElement type="firstRowStripe" dxfId="1023"/>
      <tableStyleElement type="secondRowStripe" dxfId="1022"/>
    </tableStyle>
    <tableStyle name="PRE FINAL 1.3 (RELEVANT QUESTIO-style 144" pivot="0" count="2" xr9:uid="{00000000-0011-0000-FFFF-FFFFB6020000}">
      <tableStyleElement type="firstRowStripe" dxfId="1021"/>
      <tableStyleElement type="secondRowStripe" dxfId="1020"/>
    </tableStyle>
    <tableStyle name="PRE FINAL 1.3 (RELEVANT QUESTIO-style 145" pivot="0" count="2" xr9:uid="{00000000-0011-0000-FFFF-FFFFB7020000}">
      <tableStyleElement type="firstRowStripe" dxfId="1019"/>
      <tableStyleElement type="secondRowStripe" dxfId="1018"/>
    </tableStyle>
    <tableStyle name="PRE FINAL 1.3 (RELEVANT QUESTIO-style 146" pivot="0" count="2" xr9:uid="{00000000-0011-0000-FFFF-FFFFB8020000}">
      <tableStyleElement type="firstRowStripe" dxfId="1017"/>
      <tableStyleElement type="secondRowStripe" dxfId="1016"/>
    </tableStyle>
    <tableStyle name="PRE FINAL 1.3 (RELEVANT QUESTIO-style 147" pivot="0" count="2" xr9:uid="{00000000-0011-0000-FFFF-FFFFB9020000}">
      <tableStyleElement type="firstRowStripe" dxfId="1015"/>
      <tableStyleElement type="secondRowStripe" dxfId="1014"/>
    </tableStyle>
    <tableStyle name="PRE FINAL 1.3 (RELEVANT QUESTIO-style 148" pivot="0" count="2" xr9:uid="{00000000-0011-0000-FFFF-FFFFBA020000}">
      <tableStyleElement type="firstRowStripe" dxfId="1013"/>
      <tableStyleElement type="secondRowStripe" dxfId="1012"/>
    </tableStyle>
    <tableStyle name="PRE FINAL 1.3 (RELEVANT QUESTIO-style 149" pivot="0" count="2" xr9:uid="{00000000-0011-0000-FFFF-FFFFBB020000}">
      <tableStyleElement type="firstRowStripe" dxfId="1011"/>
      <tableStyleElement type="secondRowStripe" dxfId="1010"/>
    </tableStyle>
    <tableStyle name="PRE FINAL 1.3 (RELEVANT QUESTIO-style 150" pivot="0" count="2" xr9:uid="{00000000-0011-0000-FFFF-FFFFBC020000}">
      <tableStyleElement type="firstRowStripe" dxfId="1009"/>
      <tableStyleElement type="secondRowStripe" dxfId="1008"/>
    </tableStyle>
    <tableStyle name="PRE FINAL 1.3 (RELEVANT QUESTIO-style 151" pivot="0" count="2" xr9:uid="{00000000-0011-0000-FFFF-FFFFBD020000}">
      <tableStyleElement type="firstRowStripe" dxfId="1007"/>
      <tableStyleElement type="secondRowStripe" dxfId="1006"/>
    </tableStyle>
    <tableStyle name="PRE FINAL 1.3 (RELEVANT QUESTIO-style 152" pivot="0" count="2" xr9:uid="{00000000-0011-0000-FFFF-FFFFBE020000}">
      <tableStyleElement type="firstRowStripe" dxfId="1005"/>
      <tableStyleElement type="secondRowStripe" dxfId="1004"/>
    </tableStyle>
    <tableStyle name="PRE FINAL 1.3 (RELEVANT QUESTIO-style 153" pivot="0" count="2" xr9:uid="{00000000-0011-0000-FFFF-FFFFBF020000}">
      <tableStyleElement type="firstRowStripe" dxfId="1003"/>
      <tableStyleElement type="secondRowStripe" dxfId="1002"/>
    </tableStyle>
    <tableStyle name="PRE FINAL 1.3 (RELEVANT QUESTIO-style 154" pivot="0" count="2" xr9:uid="{00000000-0011-0000-FFFF-FFFFC0020000}">
      <tableStyleElement type="firstRowStripe" dxfId="1001"/>
      <tableStyleElement type="secondRowStripe" dxfId="1000"/>
    </tableStyle>
    <tableStyle name="PRE FINAL 1.3 (RELEVANT QUESTIO-style 155" pivot="0" count="2" xr9:uid="{00000000-0011-0000-FFFF-FFFFC1020000}">
      <tableStyleElement type="firstRowStripe" dxfId="999"/>
      <tableStyleElement type="secondRowStripe" dxfId="998"/>
    </tableStyle>
    <tableStyle name="PRE FINAL 1.3 (RELEVANT QUESTIO-style 156" pivot="0" count="2" xr9:uid="{00000000-0011-0000-FFFF-FFFFC2020000}">
      <tableStyleElement type="firstRowStripe" dxfId="997"/>
      <tableStyleElement type="secondRowStripe" dxfId="996"/>
    </tableStyle>
    <tableStyle name="PRE FINAL 1.3 (RELEVANT QUESTIO-style 157" pivot="0" count="2" xr9:uid="{00000000-0011-0000-FFFF-FFFFC3020000}">
      <tableStyleElement type="firstRowStripe" dxfId="995"/>
      <tableStyleElement type="secondRowStripe" dxfId="994"/>
    </tableStyle>
    <tableStyle name="PRE FINAL 1.3 (RELEVANT QUESTIO-style 158" pivot="0" count="2" xr9:uid="{00000000-0011-0000-FFFF-FFFFC4020000}">
      <tableStyleElement type="firstRowStripe" dxfId="993"/>
      <tableStyleElement type="secondRowStripe" dxfId="992"/>
    </tableStyle>
    <tableStyle name="PRE FINAL 1.3 (RELEVANT QUESTIO-style 159" pivot="0" count="2" xr9:uid="{00000000-0011-0000-FFFF-FFFFC5020000}">
      <tableStyleElement type="firstRowStripe" dxfId="991"/>
      <tableStyleElement type="secondRowStripe" dxfId="990"/>
    </tableStyle>
    <tableStyle name="PRE FINAL 1.3 (RELEVANT QUESTIO-style 160" pivot="0" count="2" xr9:uid="{00000000-0011-0000-FFFF-FFFFC6020000}">
      <tableStyleElement type="firstRowStripe" dxfId="989"/>
      <tableStyleElement type="secondRowStripe" dxfId="988"/>
    </tableStyle>
    <tableStyle name="PRE FINAL 1.3 (RELEVANT QUESTIO-style 161" pivot="0" count="2" xr9:uid="{00000000-0011-0000-FFFF-FFFFC7020000}">
      <tableStyleElement type="firstRowStripe" dxfId="987"/>
      <tableStyleElement type="secondRowStripe" dxfId="986"/>
    </tableStyle>
    <tableStyle name="PRE FINAL 1.3 (RELEVANT QUESTIO-style 162" pivot="0" count="2" xr9:uid="{00000000-0011-0000-FFFF-FFFFC8020000}">
      <tableStyleElement type="firstRowStripe" dxfId="985"/>
      <tableStyleElement type="secondRowStripe" dxfId="984"/>
    </tableStyle>
    <tableStyle name="PRE FINAL 1.3 (RELEVANT QUESTIO-style 163" pivot="0" count="2" xr9:uid="{00000000-0011-0000-FFFF-FFFFC9020000}">
      <tableStyleElement type="firstRowStripe" dxfId="983"/>
      <tableStyleElement type="secondRowStripe" dxfId="982"/>
    </tableStyle>
    <tableStyle name="PRE FINAL 1.3 (RELEVANT QUESTIO-style 164" pivot="0" count="2" xr9:uid="{00000000-0011-0000-FFFF-FFFFCA020000}">
      <tableStyleElement type="firstRowStripe" dxfId="981"/>
      <tableStyleElement type="secondRowStripe" dxfId="980"/>
    </tableStyle>
    <tableStyle name="PRE FINAL 1.3 (RELEVANT QUESTIO-style 165" pivot="0" count="2" xr9:uid="{00000000-0011-0000-FFFF-FFFFCB020000}">
      <tableStyleElement type="firstRowStripe" dxfId="979"/>
      <tableStyleElement type="secondRowStripe" dxfId="978"/>
    </tableStyle>
    <tableStyle name="PRE FINAL 1.3 (RELEVANT QUESTIO-style 166" pivot="0" count="2" xr9:uid="{00000000-0011-0000-FFFF-FFFFCC020000}">
      <tableStyleElement type="firstRowStripe" dxfId="977"/>
      <tableStyleElement type="secondRowStripe" dxfId="976"/>
    </tableStyle>
    <tableStyle name="PRE FINAL 1.3 (RELEVANT QUESTIO-style 167" pivot="0" count="2" xr9:uid="{00000000-0011-0000-FFFF-FFFFCD020000}">
      <tableStyleElement type="firstRowStripe" dxfId="975"/>
      <tableStyleElement type="secondRowStripe" dxfId="974"/>
    </tableStyle>
    <tableStyle name="PRE FINAL 1.3 (RELEVANT QUESTIO-style 168" pivot="0" count="2" xr9:uid="{00000000-0011-0000-FFFF-FFFFCE020000}">
      <tableStyleElement type="firstRowStripe" dxfId="973"/>
      <tableStyleElement type="secondRowStripe" dxfId="972"/>
    </tableStyle>
    <tableStyle name="PRE FINAL 1.3 (RELEVANT QUESTIO-style 169" pivot="0" count="2" xr9:uid="{00000000-0011-0000-FFFF-FFFFCF020000}">
      <tableStyleElement type="firstRowStripe" dxfId="971"/>
      <tableStyleElement type="secondRowStripe" dxfId="970"/>
    </tableStyle>
    <tableStyle name="PRE FINAL 1.3 (RELEVANT QUESTIO-style 170" pivot="0" count="2" xr9:uid="{00000000-0011-0000-FFFF-FFFFD0020000}">
      <tableStyleElement type="firstRowStripe" dxfId="969"/>
      <tableStyleElement type="secondRowStripe" dxfId="968"/>
    </tableStyle>
    <tableStyle name="PRE FINAL 1.3 (RELEVANT QUESTIO-style 171" pivot="0" count="2" xr9:uid="{00000000-0011-0000-FFFF-FFFFD1020000}">
      <tableStyleElement type="firstRowStripe" dxfId="967"/>
      <tableStyleElement type="secondRowStripe" dxfId="966"/>
    </tableStyle>
    <tableStyle name="PRE FINAL 1.3 (RELEVANT QUESTIO-style 172" pivot="0" count="2" xr9:uid="{00000000-0011-0000-FFFF-FFFFD2020000}">
      <tableStyleElement type="firstRowStripe" dxfId="965"/>
      <tableStyleElement type="secondRowStripe" dxfId="964"/>
    </tableStyle>
    <tableStyle name="PRE FINAL 1.3 (RELEVANT QUESTIO-style 173" pivot="0" count="2" xr9:uid="{00000000-0011-0000-FFFF-FFFFD3020000}">
      <tableStyleElement type="firstRowStripe" dxfId="963"/>
      <tableStyleElement type="secondRowStripe" dxfId="962"/>
    </tableStyle>
    <tableStyle name="PRE FINAL 1.3 (RELEVANT QUESTIO-style 174" pivot="0" count="2" xr9:uid="{00000000-0011-0000-FFFF-FFFFD4020000}">
      <tableStyleElement type="firstRowStripe" dxfId="961"/>
      <tableStyleElement type="secondRowStripe" dxfId="960"/>
    </tableStyle>
    <tableStyle name="PRE FINAL 1.4(FACTORS QUESTIONS-style" pivot="0" count="4" xr9:uid="{00000000-0011-0000-FFFF-FFFFD5020000}">
      <tableStyleElement type="wholeTable" size="0" dxfId="959"/>
      <tableStyleElement type="headerRow" dxfId="958"/>
      <tableStyleElement type="firstRowStripe" dxfId="957"/>
      <tableStyleElement type="secondRowStripe" dxfId="956"/>
    </tableStyle>
    <tableStyle name="PRE FINAL 1.4(FACTORS QUESTIONS-style 2" pivot="0" count="2" xr9:uid="{00000000-0011-0000-FFFF-FFFFD6020000}">
      <tableStyleElement type="firstRowStripe" dxfId="955"/>
      <tableStyleElement type="secondRowStripe" dxfId="954"/>
    </tableStyle>
    <tableStyle name="PRE FINAL 1.4(FACTORS QUESTIONS-style 3" pivot="0" count="2" xr9:uid="{00000000-0011-0000-FFFF-FFFFD7020000}">
      <tableStyleElement type="firstRowStripe" dxfId="953"/>
      <tableStyleElement type="secondRowStripe" dxfId="952"/>
    </tableStyle>
    <tableStyle name="PRE FINAL 1.4(FACTORS QUESTIONS-style 4" pivot="0" count="2" xr9:uid="{00000000-0011-0000-FFFF-FFFFD8020000}">
      <tableStyleElement type="firstRowStripe" dxfId="951"/>
      <tableStyleElement type="secondRowStripe" dxfId="950"/>
    </tableStyle>
    <tableStyle name="PRE FINAL 1.4(FACTORS QUESTIONS-style 5" pivot="0" count="2" xr9:uid="{00000000-0011-0000-FFFF-FFFFD9020000}">
      <tableStyleElement type="firstRowStripe" dxfId="949"/>
      <tableStyleElement type="secondRowStripe" dxfId="948"/>
    </tableStyle>
    <tableStyle name="PRE FINAL 1.4(FACTORS QUESTIONS-style 6" pivot="0" count="2" xr9:uid="{00000000-0011-0000-FFFF-FFFFDA020000}">
      <tableStyleElement type="firstRowStripe" dxfId="947"/>
      <tableStyleElement type="secondRowStripe" dxfId="946"/>
    </tableStyle>
    <tableStyle name="PRE FINAL 1.4(FACTORS QUESTIONS-style 7" pivot="0" count="2" xr9:uid="{00000000-0011-0000-FFFF-FFFFDB020000}">
      <tableStyleElement type="firstRowStripe" dxfId="945"/>
      <tableStyleElement type="secondRowStripe" dxfId="944"/>
    </tableStyle>
    <tableStyle name="PRE FINAL 1.4(FACTORS QUESTIONS-style 8" pivot="0" count="2" xr9:uid="{00000000-0011-0000-FFFF-FFFFDC020000}">
      <tableStyleElement type="firstRowStripe" dxfId="943"/>
      <tableStyleElement type="secondRowStripe" dxfId="942"/>
    </tableStyle>
    <tableStyle name="PRE FINAL 1.4(FACTORS QUESTIONS-style 9" pivot="0" count="2" xr9:uid="{00000000-0011-0000-FFFF-FFFFDD020000}">
      <tableStyleElement type="firstRowStripe" dxfId="941"/>
      <tableStyleElement type="secondRowStripe" dxfId="940"/>
    </tableStyle>
    <tableStyle name="PRE FINAL 1.4(FACTORS QUESTIONS-style 10" pivot="0" count="2" xr9:uid="{00000000-0011-0000-FFFF-FFFFDE020000}">
      <tableStyleElement type="firstRowStripe" dxfId="939"/>
      <tableStyleElement type="secondRowStripe" dxfId="938"/>
    </tableStyle>
    <tableStyle name="PRE FINAL 1.4(FACTORS QUESTIONS-style 11" pivot="0" count="2" xr9:uid="{00000000-0011-0000-FFFF-FFFFDF020000}">
      <tableStyleElement type="firstRowStripe" dxfId="937"/>
      <tableStyleElement type="secondRowStripe" dxfId="936"/>
    </tableStyle>
    <tableStyle name="PRE FINAL 1.4(FACTORS QUESTIONS-style 12" pivot="0" count="2" xr9:uid="{00000000-0011-0000-FFFF-FFFFE0020000}">
      <tableStyleElement type="firstRowStripe" dxfId="935"/>
      <tableStyleElement type="secondRowStripe" dxfId="934"/>
    </tableStyle>
    <tableStyle name="PRE FINAL 1.4(FACTORS QUESTIONS-style 13" pivot="0" count="2" xr9:uid="{00000000-0011-0000-FFFF-FFFFE1020000}">
      <tableStyleElement type="firstRowStripe" dxfId="933"/>
      <tableStyleElement type="secondRowStripe" dxfId="932"/>
    </tableStyle>
    <tableStyle name="PRE FINAL 1.4(FACTORS QUESTIONS-style 14" pivot="0" count="2" xr9:uid="{00000000-0011-0000-FFFF-FFFFE2020000}">
      <tableStyleElement type="firstRowStripe" dxfId="931"/>
      <tableStyleElement type="secondRowStripe" dxfId="930"/>
    </tableStyle>
    <tableStyle name="PRE FINAL 1.4(FACTORS QUESTIONS-style 15" pivot="0" count="2" xr9:uid="{00000000-0011-0000-FFFF-FFFFE3020000}">
      <tableStyleElement type="firstRowStripe" dxfId="929"/>
      <tableStyleElement type="secondRowStripe" dxfId="928"/>
    </tableStyle>
    <tableStyle name="PRE FINAL 1.4(FACTORS QUESTIONS-style 16" pivot="0" count="2" xr9:uid="{00000000-0011-0000-FFFF-FFFFE4020000}">
      <tableStyleElement type="firstRowStripe" dxfId="927"/>
      <tableStyleElement type="secondRowStripe" dxfId="926"/>
    </tableStyle>
    <tableStyle name="PRE FINAL 1.4(FACTORS QUESTIONS-style 17" pivot="0" count="2" xr9:uid="{00000000-0011-0000-FFFF-FFFFE5020000}">
      <tableStyleElement type="firstRowStripe" dxfId="925"/>
      <tableStyleElement type="secondRowStripe" dxfId="924"/>
    </tableStyle>
    <tableStyle name="PRE FINAL 1.4(FACTORS QUESTIONS-style 18" pivot="0" count="2" xr9:uid="{00000000-0011-0000-FFFF-FFFFE6020000}">
      <tableStyleElement type="firstRowStripe" dxfId="923"/>
      <tableStyleElement type="secondRowStripe" dxfId="922"/>
    </tableStyle>
    <tableStyle name="PRE FINAL 1.4(FACTORS QUESTIONS-style 19" pivot="0" count="2" xr9:uid="{00000000-0011-0000-FFFF-FFFFE7020000}">
      <tableStyleElement type="firstRowStripe" dxfId="921"/>
      <tableStyleElement type="secondRowStripe" dxfId="920"/>
    </tableStyle>
    <tableStyle name="PRE FINAL 1.4(FACTORS QUESTIONS-style 20" pivot="0" count="2" xr9:uid="{00000000-0011-0000-FFFF-FFFFE8020000}">
      <tableStyleElement type="firstRowStripe" dxfId="919"/>
      <tableStyleElement type="secondRowStripe" dxfId="918"/>
    </tableStyle>
    <tableStyle name="PRE FINAL 1.4(FACTORS QUESTIONS-style 21" pivot="0" count="2" xr9:uid="{00000000-0011-0000-FFFF-FFFFE9020000}">
      <tableStyleElement type="firstRowStripe" dxfId="917"/>
      <tableStyleElement type="secondRowStripe" dxfId="916"/>
    </tableStyle>
    <tableStyle name="PRE FINAL 1.4(FACTORS QUESTIONS-style 22" pivot="0" count="2" xr9:uid="{00000000-0011-0000-FFFF-FFFFEA020000}">
      <tableStyleElement type="firstRowStripe" dxfId="915"/>
      <tableStyleElement type="secondRowStripe" dxfId="914"/>
    </tableStyle>
    <tableStyle name="PRE FINAL 1.4(FACTORS QUESTIONS-style 23" pivot="0" count="2" xr9:uid="{00000000-0011-0000-FFFF-FFFFEB020000}">
      <tableStyleElement type="firstRowStripe" dxfId="913"/>
      <tableStyleElement type="secondRowStripe" dxfId="912"/>
    </tableStyle>
    <tableStyle name="PRE FINAL 1.4(FACTORS QUESTIONS-style 24" pivot="0" count="2" xr9:uid="{00000000-0011-0000-FFFF-FFFFEC020000}">
      <tableStyleElement type="firstRowStripe" dxfId="911"/>
      <tableStyleElement type="secondRowStripe" dxfId="910"/>
    </tableStyle>
    <tableStyle name="PRE FINAL 1.4(FACTORS QUESTIONS-style 25" pivot="0" count="2" xr9:uid="{00000000-0011-0000-FFFF-FFFFED020000}">
      <tableStyleElement type="firstRowStripe" dxfId="909"/>
      <tableStyleElement type="secondRowStripe" dxfId="908"/>
    </tableStyle>
    <tableStyle name="PRE FINAL 1.4(FACTORS QUESTIONS-style 26" pivot="0" count="2" xr9:uid="{00000000-0011-0000-FFFF-FFFFEE020000}">
      <tableStyleElement type="firstRowStripe" dxfId="907"/>
      <tableStyleElement type="secondRowStripe" dxfId="906"/>
    </tableStyle>
    <tableStyle name="PRE FINAL 1.4(FACTORS QUESTIONS-style 27" pivot="0" count="2" xr9:uid="{00000000-0011-0000-FFFF-FFFFEF020000}">
      <tableStyleElement type="firstRowStripe" dxfId="905"/>
      <tableStyleElement type="secondRowStripe" dxfId="904"/>
    </tableStyle>
    <tableStyle name="PRE FINAL 1.4(FACTORS QUESTIONS-style 28" pivot="0" count="2" xr9:uid="{00000000-0011-0000-FFFF-FFFFF0020000}">
      <tableStyleElement type="firstRowStripe" dxfId="903"/>
      <tableStyleElement type="secondRowStripe" dxfId="902"/>
    </tableStyle>
    <tableStyle name="PRE FINAL 1.4(FACTORS QUESTIONS-style 29" pivot="0" count="2" xr9:uid="{00000000-0011-0000-FFFF-FFFFF1020000}">
      <tableStyleElement type="firstRowStripe" dxfId="901"/>
      <tableStyleElement type="secondRowStripe" dxfId="900"/>
    </tableStyle>
    <tableStyle name="PRE FINAL 1.4(FACTORS QUESTIONS-style 30" pivot="0" count="2" xr9:uid="{00000000-0011-0000-FFFF-FFFFF2020000}">
      <tableStyleElement type="firstRowStripe" dxfId="899"/>
      <tableStyleElement type="secondRowStripe" dxfId="898"/>
    </tableStyle>
    <tableStyle name="PRE FINAL 1.4(FACTORS QUESTIONS-style 31" pivot="0" count="2" xr9:uid="{00000000-0011-0000-FFFF-FFFFF3020000}">
      <tableStyleElement type="firstRowStripe" dxfId="897"/>
      <tableStyleElement type="secondRowStripe" dxfId="896"/>
    </tableStyle>
    <tableStyle name="PRE FINAL 1.4(FACTORS QUESTIONS-style 32" pivot="0" count="2" xr9:uid="{00000000-0011-0000-FFFF-FFFFF4020000}">
      <tableStyleElement type="firstRowStripe" dxfId="895"/>
      <tableStyleElement type="secondRowStripe" dxfId="894"/>
    </tableStyle>
    <tableStyle name="PRE FINAL 1.4(FACTORS QUESTIONS-style 33" pivot="0" count="2" xr9:uid="{00000000-0011-0000-FFFF-FFFFF5020000}">
      <tableStyleElement type="firstRowStripe" dxfId="893"/>
      <tableStyleElement type="secondRowStripe" dxfId="892"/>
    </tableStyle>
    <tableStyle name="PRE FINAL 1.4(FACTORS QUESTIONS-style 34" pivot="0" count="2" xr9:uid="{00000000-0011-0000-FFFF-FFFFF6020000}">
      <tableStyleElement type="firstRowStripe" dxfId="891"/>
      <tableStyleElement type="secondRowStripe" dxfId="890"/>
    </tableStyle>
    <tableStyle name="PRE FINAL 1.4(FACTORS QUESTIONS-style 35" pivot="0" count="2" xr9:uid="{00000000-0011-0000-FFFF-FFFFF7020000}">
      <tableStyleElement type="firstRowStripe" dxfId="889"/>
      <tableStyleElement type="secondRowStripe" dxfId="888"/>
    </tableStyle>
    <tableStyle name="PRE FINAL 1.4(FACTORS QUESTIONS-style 36" pivot="0" count="2" xr9:uid="{00000000-0011-0000-FFFF-FFFFF8020000}">
      <tableStyleElement type="firstRowStripe" dxfId="887"/>
      <tableStyleElement type="secondRowStripe" dxfId="886"/>
    </tableStyle>
    <tableStyle name="PRE FINAL 1.4(FACTORS QUESTIONS-style 37" pivot="0" count="2" xr9:uid="{00000000-0011-0000-FFFF-FFFFF9020000}">
      <tableStyleElement type="firstRowStripe" dxfId="885"/>
      <tableStyleElement type="secondRowStripe" dxfId="884"/>
    </tableStyle>
    <tableStyle name="PRE FINAL 1.4(FACTORS QUESTIONS-style 38" pivot="0" count="2" xr9:uid="{00000000-0011-0000-FFFF-FFFFFA020000}">
      <tableStyleElement type="firstRowStripe" dxfId="883"/>
      <tableStyleElement type="secondRowStripe" dxfId="882"/>
    </tableStyle>
    <tableStyle name="PRE FINAL 1.4(FACTORS QUESTIONS-style 39" pivot="0" count="2" xr9:uid="{00000000-0011-0000-FFFF-FFFFFB020000}">
      <tableStyleElement type="firstRowStripe" dxfId="881"/>
      <tableStyleElement type="secondRowStripe" dxfId="880"/>
    </tableStyle>
    <tableStyle name="PRE FINAL 1.4(FACTORS QUESTIONS-style 40" pivot="0" count="2" xr9:uid="{00000000-0011-0000-FFFF-FFFFFC020000}">
      <tableStyleElement type="firstRowStripe" dxfId="879"/>
      <tableStyleElement type="secondRowStripe" dxfId="878"/>
    </tableStyle>
    <tableStyle name="PRE FINAL 1.4(FACTORS QUESTIONS-style 41" pivot="0" count="2" xr9:uid="{00000000-0011-0000-FFFF-FFFFFD020000}">
      <tableStyleElement type="firstRowStripe" dxfId="877"/>
      <tableStyleElement type="secondRowStripe" dxfId="876"/>
    </tableStyle>
    <tableStyle name="PRE FINAL 1.4(FACTORS QUESTIONS-style 42" pivot="0" count="2" xr9:uid="{00000000-0011-0000-FFFF-FFFFFE020000}">
      <tableStyleElement type="firstRowStripe" dxfId="875"/>
      <tableStyleElement type="secondRowStripe" dxfId="874"/>
    </tableStyle>
    <tableStyle name="PRE FINAL 1.4(FACTORS QUESTIONS-style 43" pivot="0" count="2" xr9:uid="{00000000-0011-0000-FFFF-FFFFFF020000}">
      <tableStyleElement type="firstRowStripe" dxfId="873"/>
      <tableStyleElement type="secondRowStripe" dxfId="872"/>
    </tableStyle>
    <tableStyle name="PRE FINAL 1.4(FACTORS QUESTIONS-style 44" pivot="0" count="2" xr9:uid="{00000000-0011-0000-FFFF-FFFF00030000}">
      <tableStyleElement type="firstRowStripe" dxfId="871"/>
      <tableStyleElement type="secondRowStripe" dxfId="870"/>
    </tableStyle>
    <tableStyle name="PRE FINAL 1.4(FACTORS QUESTIONS-style 45" pivot="0" count="2" xr9:uid="{00000000-0011-0000-FFFF-FFFF01030000}">
      <tableStyleElement type="firstRowStripe" dxfId="869"/>
      <tableStyleElement type="secondRowStripe" dxfId="868"/>
    </tableStyle>
    <tableStyle name="PRE FINAL 1.4(FACTORS QUESTIONS-style 46" pivot="0" count="2" xr9:uid="{00000000-0011-0000-FFFF-FFFF02030000}">
      <tableStyleElement type="firstRowStripe" dxfId="867"/>
      <tableStyleElement type="secondRowStripe" dxfId="866"/>
    </tableStyle>
    <tableStyle name="PRE FINAL 1.4(FACTORS QUESTIONS-style 47" pivot="0" count="2" xr9:uid="{00000000-0011-0000-FFFF-FFFF03030000}">
      <tableStyleElement type="firstRowStripe" dxfId="865"/>
      <tableStyleElement type="secondRowStripe" dxfId="864"/>
    </tableStyle>
    <tableStyle name="PRE FINAL 1.4(FACTORS QUESTIONS-style 48" pivot="0" count="2" xr9:uid="{00000000-0011-0000-FFFF-FFFF04030000}">
      <tableStyleElement type="firstRowStripe" dxfId="863"/>
      <tableStyleElement type="secondRowStripe" dxfId="862"/>
    </tableStyle>
    <tableStyle name="PRE FINAL 1.4(FACTORS QUESTIONS-style 49" pivot="0" count="2" xr9:uid="{00000000-0011-0000-FFFF-FFFF05030000}">
      <tableStyleElement type="firstRowStripe" dxfId="861"/>
      <tableStyleElement type="secondRowStripe" dxfId="860"/>
    </tableStyle>
    <tableStyle name="PRE FINAL 1.4(FACTORS QUESTIONS-style 50" pivot="0" count="2" xr9:uid="{00000000-0011-0000-FFFF-FFFF06030000}">
      <tableStyleElement type="firstRowStripe" dxfId="859"/>
      <tableStyleElement type="secondRowStripe" dxfId="858"/>
    </tableStyle>
    <tableStyle name="PRE FINAL 1.4(FACTORS QUESTIONS-style 51" pivot="0" count="2" xr9:uid="{00000000-0011-0000-FFFF-FFFF07030000}">
      <tableStyleElement type="firstRowStripe" dxfId="857"/>
      <tableStyleElement type="secondRowStripe" dxfId="856"/>
    </tableStyle>
    <tableStyle name="PRE FINAL 1.4(FACTORS QUESTIONS-style 52" pivot="0" count="2" xr9:uid="{00000000-0011-0000-FFFF-FFFF08030000}">
      <tableStyleElement type="firstRowStripe" dxfId="855"/>
      <tableStyleElement type="secondRowStripe" dxfId="854"/>
    </tableStyle>
    <tableStyle name="PRE FINAL 1.4(FACTORS QUESTIONS-style 53" pivot="0" count="2" xr9:uid="{00000000-0011-0000-FFFF-FFFF09030000}">
      <tableStyleElement type="firstRowStripe" dxfId="853"/>
      <tableStyleElement type="secondRowStripe" dxfId="852"/>
    </tableStyle>
    <tableStyle name="PRE FINAL 1.4(FACTORS QUESTIONS-style 54" pivot="0" count="2" xr9:uid="{00000000-0011-0000-FFFF-FFFF0A030000}">
      <tableStyleElement type="firstRowStripe" dxfId="851"/>
      <tableStyleElement type="secondRowStripe" dxfId="850"/>
    </tableStyle>
    <tableStyle name="PRE FINAL 1.4(FACTORS QUESTIONS-style 55" pivot="0" count="2" xr9:uid="{00000000-0011-0000-FFFF-FFFF0B030000}">
      <tableStyleElement type="firstRowStripe" dxfId="849"/>
      <tableStyleElement type="secondRowStripe" dxfId="848"/>
    </tableStyle>
    <tableStyle name="PRE FINAL 1.4(FACTORS QUESTIONS-style 56" pivot="0" count="2" xr9:uid="{00000000-0011-0000-FFFF-FFFF0C030000}">
      <tableStyleElement type="firstRowStripe" dxfId="847"/>
      <tableStyleElement type="secondRowStripe" dxfId="846"/>
    </tableStyle>
    <tableStyle name="PRE FINAL 1.4(FACTORS QUESTIONS-style 57" pivot="0" count="2" xr9:uid="{00000000-0011-0000-FFFF-FFFF0D030000}">
      <tableStyleElement type="firstRowStripe" dxfId="845"/>
      <tableStyleElement type="secondRowStripe" dxfId="844"/>
    </tableStyle>
    <tableStyle name="PRE FINAL 1.4(FACTORS QUESTIONS-style 58" pivot="0" count="2" xr9:uid="{00000000-0011-0000-FFFF-FFFF0E030000}">
      <tableStyleElement type="firstRowStripe" dxfId="843"/>
      <tableStyleElement type="secondRowStripe" dxfId="842"/>
    </tableStyle>
    <tableStyle name="PRE FINAL 1.4(FACTORS QUESTIONS-style 59" pivot="0" count="2" xr9:uid="{00000000-0011-0000-FFFF-FFFF0F030000}">
      <tableStyleElement type="firstRowStripe" dxfId="841"/>
      <tableStyleElement type="secondRowStripe" dxfId="840"/>
    </tableStyle>
    <tableStyle name="PRE FINAL 1.4(FACTORS QUESTIONS-style 60" pivot="0" count="2" xr9:uid="{00000000-0011-0000-FFFF-FFFF10030000}">
      <tableStyleElement type="firstRowStripe" dxfId="839"/>
      <tableStyleElement type="secondRowStripe" dxfId="838"/>
    </tableStyle>
    <tableStyle name="PRE FINAL 1.4(FACTORS QUESTIONS-style 61" pivot="0" count="2" xr9:uid="{00000000-0011-0000-FFFF-FFFF11030000}">
      <tableStyleElement type="firstRowStripe" dxfId="837"/>
      <tableStyleElement type="secondRowStripe" dxfId="836"/>
    </tableStyle>
    <tableStyle name="PRE FINAL 1.4(FACTORS QUESTIONS-style 62" pivot="0" count="2" xr9:uid="{00000000-0011-0000-FFFF-FFFF12030000}">
      <tableStyleElement type="firstRowStripe" dxfId="835"/>
      <tableStyleElement type="secondRowStripe" dxfId="834"/>
    </tableStyle>
    <tableStyle name="PRE FINAL 1.4(FACTORS QUESTIONS-style 63" pivot="0" count="2" xr9:uid="{00000000-0011-0000-FFFF-FFFF13030000}">
      <tableStyleElement type="firstRowStripe" dxfId="833"/>
      <tableStyleElement type="secondRowStripe" dxfId="832"/>
    </tableStyle>
    <tableStyle name="PRE FINAL 1.4(FACTORS QUESTIONS-style 64" pivot="0" count="2" xr9:uid="{00000000-0011-0000-FFFF-FFFF14030000}">
      <tableStyleElement type="firstRowStripe" dxfId="831"/>
      <tableStyleElement type="secondRowStripe" dxfId="830"/>
    </tableStyle>
    <tableStyle name="PRE FINAL 1.4(FACTORS QUESTIONS-style 65" pivot="0" count="2" xr9:uid="{00000000-0011-0000-FFFF-FFFF15030000}">
      <tableStyleElement type="firstRowStripe" dxfId="829"/>
      <tableStyleElement type="secondRowStripe" dxfId="828"/>
    </tableStyle>
    <tableStyle name="PRE FINAL 1.4(FACTORS QUESTIONS-style 66" pivot="0" count="2" xr9:uid="{00000000-0011-0000-FFFF-FFFF16030000}">
      <tableStyleElement type="firstRowStripe" dxfId="827"/>
      <tableStyleElement type="secondRowStripe" dxfId="826"/>
    </tableStyle>
    <tableStyle name="PRE FINAL 1.4(FACTORS QUESTIONS-style 67" pivot="0" count="2" xr9:uid="{00000000-0011-0000-FFFF-FFFF17030000}">
      <tableStyleElement type="firstRowStripe" dxfId="825"/>
      <tableStyleElement type="secondRowStripe" dxfId="824"/>
    </tableStyle>
    <tableStyle name="PRE FINAL 1.4(FACTORS QUESTIONS-style 68" pivot="0" count="2" xr9:uid="{00000000-0011-0000-FFFF-FFFF18030000}">
      <tableStyleElement type="firstRowStripe" dxfId="823"/>
      <tableStyleElement type="secondRowStripe" dxfId="822"/>
    </tableStyle>
    <tableStyle name="PRE FINAL 1.4(FACTORS QUESTIONS-style 69" pivot="0" count="2" xr9:uid="{00000000-0011-0000-FFFF-FFFF19030000}">
      <tableStyleElement type="firstRowStripe" dxfId="821"/>
      <tableStyleElement type="secondRowStripe" dxfId="820"/>
    </tableStyle>
    <tableStyle name="PRE FINAL 1.4(FACTORS QUESTIONS-style 70" pivot="0" count="2" xr9:uid="{00000000-0011-0000-FFFF-FFFF1A030000}">
      <tableStyleElement type="firstRowStripe" dxfId="819"/>
      <tableStyleElement type="secondRowStripe" dxfId="818"/>
    </tableStyle>
    <tableStyle name="PRE FINAL 1.4(FACTORS QUESTIONS-style 71" pivot="0" count="2" xr9:uid="{00000000-0011-0000-FFFF-FFFF1B030000}">
      <tableStyleElement type="firstRowStripe" dxfId="817"/>
      <tableStyleElement type="secondRowStripe" dxfId="816"/>
    </tableStyle>
    <tableStyle name="PRE FINAL 1.4(FACTORS QUESTIONS-style 72" pivot="0" count="2" xr9:uid="{00000000-0011-0000-FFFF-FFFF1C030000}">
      <tableStyleElement type="firstRowStripe" dxfId="815"/>
      <tableStyleElement type="secondRowStripe" dxfId="814"/>
    </tableStyle>
    <tableStyle name="PRE FINAL 1.4(FACTORS QUESTIONS-style 73" pivot="0" count="2" xr9:uid="{00000000-0011-0000-FFFF-FFFF1D030000}">
      <tableStyleElement type="firstRowStripe" dxfId="813"/>
      <tableStyleElement type="secondRowStripe" dxfId="812"/>
    </tableStyle>
    <tableStyle name="PRE FINAL 1.4(FACTORS QUESTIONS-style 74" pivot="0" count="2" xr9:uid="{00000000-0011-0000-FFFF-FFFF1E030000}">
      <tableStyleElement type="firstRowStripe" dxfId="811"/>
      <tableStyleElement type="secondRowStripe" dxfId="810"/>
    </tableStyle>
    <tableStyle name="PRE FINAL 1.4(FACTORS QUESTIONS-style 75" pivot="0" count="2" xr9:uid="{00000000-0011-0000-FFFF-FFFF1F030000}">
      <tableStyleElement type="firstRowStripe" dxfId="809"/>
      <tableStyleElement type="secondRowStripe" dxfId="808"/>
    </tableStyle>
    <tableStyle name="PRE FINAL 1.4(FACTORS QUESTIONS-style 76" pivot="0" count="2" xr9:uid="{00000000-0011-0000-FFFF-FFFF20030000}">
      <tableStyleElement type="firstRowStripe" dxfId="807"/>
      <tableStyleElement type="secondRowStripe" dxfId="806"/>
    </tableStyle>
    <tableStyle name="PRE FINAL 1.4(FACTORS QUESTIONS-style 77" pivot="0" count="2" xr9:uid="{00000000-0011-0000-FFFF-FFFF21030000}">
      <tableStyleElement type="firstRowStripe" dxfId="805"/>
      <tableStyleElement type="secondRowStripe" dxfId="804"/>
    </tableStyle>
    <tableStyle name="PRE FINAL 1.4(FACTORS QUESTIONS-style 78" pivot="0" count="2" xr9:uid="{00000000-0011-0000-FFFF-FFFF22030000}">
      <tableStyleElement type="firstRowStripe" dxfId="803"/>
      <tableStyleElement type="secondRowStripe" dxfId="802"/>
    </tableStyle>
    <tableStyle name="PRE FINAL 1.4(FACTORS QUESTIONS-style 79" pivot="0" count="2" xr9:uid="{00000000-0011-0000-FFFF-FFFF23030000}">
      <tableStyleElement type="firstRowStripe" dxfId="801"/>
      <tableStyleElement type="secondRowStripe" dxfId="800"/>
    </tableStyle>
    <tableStyle name="PRE FINAL 1.4(FACTORS QUESTIONS-style 80" pivot="0" count="2" xr9:uid="{00000000-0011-0000-FFFF-FFFF24030000}">
      <tableStyleElement type="firstRowStripe" dxfId="799"/>
      <tableStyleElement type="secondRowStripe" dxfId="798"/>
    </tableStyle>
    <tableStyle name="PRE FINAL 1.4(FACTORS QUESTIONS-style 81" pivot="0" count="2" xr9:uid="{00000000-0011-0000-FFFF-FFFF25030000}">
      <tableStyleElement type="firstRowStripe" dxfId="797"/>
      <tableStyleElement type="secondRowStripe" dxfId="796"/>
    </tableStyle>
    <tableStyle name="PRE FINAL 1.4(FACTORS QUESTIONS-style 82" pivot="0" count="2" xr9:uid="{00000000-0011-0000-FFFF-FFFF26030000}">
      <tableStyleElement type="firstRowStripe" dxfId="795"/>
      <tableStyleElement type="secondRowStripe" dxfId="794"/>
    </tableStyle>
    <tableStyle name="PRE FINAL 1.4(FACTORS QUESTIONS-style 83" pivot="0" count="2" xr9:uid="{00000000-0011-0000-FFFF-FFFF27030000}">
      <tableStyleElement type="firstRowStripe" dxfId="793"/>
      <tableStyleElement type="secondRowStripe" dxfId="792"/>
    </tableStyle>
    <tableStyle name="PRE FINAL 1.4(FACTORS QUESTIONS-style 84" pivot="0" count="2" xr9:uid="{00000000-0011-0000-FFFF-FFFF28030000}">
      <tableStyleElement type="firstRowStripe" dxfId="791"/>
      <tableStyleElement type="secondRowStripe" dxfId="790"/>
    </tableStyle>
    <tableStyle name="PRE FINAL 1.4(FACTORS QUESTIONS-style 85" pivot="0" count="2" xr9:uid="{00000000-0011-0000-FFFF-FFFF29030000}">
      <tableStyleElement type="firstRowStripe" dxfId="789"/>
      <tableStyleElement type="secondRowStripe" dxfId="788"/>
    </tableStyle>
    <tableStyle name="PRE FINAL 1.4(FACTORS QUESTIONS-style 86" pivot="0" count="2" xr9:uid="{00000000-0011-0000-FFFF-FFFF2A030000}">
      <tableStyleElement type="firstRowStripe" dxfId="787"/>
      <tableStyleElement type="secondRowStripe" dxfId="786"/>
    </tableStyle>
    <tableStyle name="PRE FINAL 1.4(FACTORS QUESTIONS-style 87" pivot="0" count="2" xr9:uid="{00000000-0011-0000-FFFF-FFFF2B030000}">
      <tableStyleElement type="firstRowStripe" dxfId="785"/>
      <tableStyleElement type="secondRowStripe" dxfId="784"/>
    </tableStyle>
    <tableStyle name="PRE FINAL 1.4(FACTORS QUESTIONS-style 88" pivot="0" count="2" xr9:uid="{00000000-0011-0000-FFFF-FFFF2C030000}">
      <tableStyleElement type="firstRowStripe" dxfId="783"/>
      <tableStyleElement type="secondRowStripe" dxfId="782"/>
    </tableStyle>
    <tableStyle name="PRE FINAL 1.4(FACTORS QUESTIONS-style 89" pivot="0" count="2" xr9:uid="{00000000-0011-0000-FFFF-FFFF2D030000}">
      <tableStyleElement type="firstRowStripe" dxfId="781"/>
      <tableStyleElement type="secondRowStripe" dxfId="780"/>
    </tableStyle>
    <tableStyle name="PRE FINAL 1.4(FACTORS QUESTIONS-style 90" pivot="0" count="2" xr9:uid="{00000000-0011-0000-FFFF-FFFF2E030000}">
      <tableStyleElement type="firstRowStripe" dxfId="779"/>
      <tableStyleElement type="secondRowStripe" dxfId="778"/>
    </tableStyle>
    <tableStyle name="PRE FINAL 1.4(FACTORS QUESTIONS-style 91" pivot="0" count="2" xr9:uid="{00000000-0011-0000-FFFF-FFFF2F030000}">
      <tableStyleElement type="firstRowStripe" dxfId="777"/>
      <tableStyleElement type="secondRowStripe" dxfId="776"/>
    </tableStyle>
    <tableStyle name="PRE FINAL 1.4(FACTORS QUESTIONS-style 92" pivot="0" count="2" xr9:uid="{00000000-0011-0000-FFFF-FFFF30030000}">
      <tableStyleElement type="firstRowStripe" dxfId="775"/>
      <tableStyleElement type="secondRowStripe" dxfId="774"/>
    </tableStyle>
    <tableStyle name="PRE FINAL 1.4(FACTORS QUESTIONS-style 93" pivot="0" count="2" xr9:uid="{00000000-0011-0000-FFFF-FFFF31030000}">
      <tableStyleElement type="firstRowStripe" dxfId="773"/>
      <tableStyleElement type="secondRowStripe" dxfId="772"/>
    </tableStyle>
    <tableStyle name="PRE FINAL 1.4(FACTORS QUESTIONS-style 94" pivot="0" count="2" xr9:uid="{00000000-0011-0000-FFFF-FFFF32030000}">
      <tableStyleElement type="firstRowStripe" dxfId="771"/>
      <tableStyleElement type="secondRowStripe" dxfId="770"/>
    </tableStyle>
    <tableStyle name="PRE FINAL 1.4(FACTORS QUESTIONS-style 95" pivot="0" count="2" xr9:uid="{00000000-0011-0000-FFFF-FFFF33030000}">
      <tableStyleElement type="firstRowStripe" dxfId="769"/>
      <tableStyleElement type="secondRowStripe" dxfId="768"/>
    </tableStyle>
    <tableStyle name="PRE FINAL 1.4(FACTORS QUESTIONS-style 96" pivot="0" count="2" xr9:uid="{00000000-0011-0000-FFFF-FFFF34030000}">
      <tableStyleElement type="firstRowStripe" dxfId="767"/>
      <tableStyleElement type="secondRowStripe" dxfId="766"/>
    </tableStyle>
    <tableStyle name="PRE FINAL 1.4(FACTORS QUESTIONS-style 97" pivot="0" count="2" xr9:uid="{00000000-0011-0000-FFFF-FFFF35030000}">
      <tableStyleElement type="firstRowStripe" dxfId="765"/>
      <tableStyleElement type="secondRowStripe" dxfId="764"/>
    </tableStyle>
    <tableStyle name="PRE FINAL 1.4(FACTORS QUESTIONS-style 98" pivot="0" count="2" xr9:uid="{00000000-0011-0000-FFFF-FFFF36030000}">
      <tableStyleElement type="firstRowStripe" dxfId="763"/>
      <tableStyleElement type="secondRowStripe" dxfId="762"/>
    </tableStyle>
    <tableStyle name="PRE FINAL 1.4(FACTORS QUESTIONS-style 99" pivot="0" count="2" xr9:uid="{00000000-0011-0000-FFFF-FFFF37030000}">
      <tableStyleElement type="firstRowStripe" dxfId="761"/>
      <tableStyleElement type="secondRowStripe" dxfId="760"/>
    </tableStyle>
    <tableStyle name="PRE FINAL 1.4(FACTORS QUESTIONS-style 100" pivot="0" count="2" xr9:uid="{00000000-0011-0000-FFFF-FFFF38030000}">
      <tableStyleElement type="firstRowStripe" dxfId="759"/>
      <tableStyleElement type="secondRowStripe" dxfId="758"/>
    </tableStyle>
    <tableStyle name="PRE FINAL 1.4(FACTORS QUESTIONS-style 101" pivot="0" count="2" xr9:uid="{00000000-0011-0000-FFFF-FFFF39030000}">
      <tableStyleElement type="firstRowStripe" dxfId="757"/>
      <tableStyleElement type="secondRowStripe" dxfId="756"/>
    </tableStyle>
    <tableStyle name="PRE FINAL 1.4(FACTORS QUESTIONS-style 102" pivot="0" count="2" xr9:uid="{00000000-0011-0000-FFFF-FFFF3A030000}">
      <tableStyleElement type="firstRowStripe" dxfId="755"/>
      <tableStyleElement type="secondRowStripe" dxfId="754"/>
    </tableStyle>
    <tableStyle name="PRE FINAL 1.4(FACTORS QUESTIONS-style 103" pivot="0" count="2" xr9:uid="{00000000-0011-0000-FFFF-FFFF3B030000}">
      <tableStyleElement type="firstRowStripe" dxfId="753"/>
      <tableStyleElement type="secondRowStripe" dxfId="752"/>
    </tableStyle>
    <tableStyle name="PRE FINAL 1.4(FACTORS QUESTIONS-style 104" pivot="0" count="2" xr9:uid="{00000000-0011-0000-FFFF-FFFF3C030000}">
      <tableStyleElement type="firstRowStripe" dxfId="751"/>
      <tableStyleElement type="secondRowStripe" dxfId="750"/>
    </tableStyle>
    <tableStyle name="PRE FINAL 1.4(FACTORS QUESTIONS-style 105" pivot="0" count="2" xr9:uid="{00000000-0011-0000-FFFF-FFFF3D030000}">
      <tableStyleElement type="firstRowStripe" dxfId="749"/>
      <tableStyleElement type="secondRowStripe" dxfId="748"/>
    </tableStyle>
    <tableStyle name="PRE FINAL 1.4(FACTORS QUESTIONS-style 106" pivot="0" count="2" xr9:uid="{00000000-0011-0000-FFFF-FFFF3E030000}">
      <tableStyleElement type="firstRowStripe" dxfId="747"/>
      <tableStyleElement type="secondRowStripe" dxfId="746"/>
    </tableStyle>
    <tableStyle name="PRE FINAL 1.4(FACTORS QUESTIONS-style 107" pivot="0" count="2" xr9:uid="{00000000-0011-0000-FFFF-FFFF3F030000}">
      <tableStyleElement type="firstRowStripe" dxfId="745"/>
      <tableStyleElement type="secondRowStripe" dxfId="744"/>
    </tableStyle>
    <tableStyle name="PRE FINAL 1.4(FACTORS QUESTIONS-style 108" pivot="0" count="2" xr9:uid="{00000000-0011-0000-FFFF-FFFF40030000}">
      <tableStyleElement type="firstRowStripe" dxfId="743"/>
      <tableStyleElement type="secondRowStripe" dxfId="742"/>
    </tableStyle>
    <tableStyle name="PRE FINAL 1.4(FACTORS QUESTIONS-style 109" pivot="0" count="2" xr9:uid="{00000000-0011-0000-FFFF-FFFF41030000}">
      <tableStyleElement type="firstRowStripe" dxfId="741"/>
      <tableStyleElement type="secondRowStripe" dxfId="740"/>
    </tableStyle>
    <tableStyle name="PRE FINAL 1.4(FACTORS QUESTIONS-style 110" pivot="0" count="2" xr9:uid="{00000000-0011-0000-FFFF-FFFF42030000}">
      <tableStyleElement type="firstRowStripe" dxfId="739"/>
      <tableStyleElement type="secondRowStripe" dxfId="738"/>
    </tableStyle>
    <tableStyle name="PRE FINAL 1.4(FACTORS QUESTIONS-style 111" pivot="0" count="2" xr9:uid="{00000000-0011-0000-FFFF-FFFF43030000}">
      <tableStyleElement type="firstRowStripe" dxfId="737"/>
      <tableStyleElement type="secondRowStripe" dxfId="736"/>
    </tableStyle>
    <tableStyle name="PRE FINAL 1.4(FACTORS QUESTIONS-style 112" pivot="0" count="2" xr9:uid="{00000000-0011-0000-FFFF-FFFF44030000}">
      <tableStyleElement type="firstRowStripe" dxfId="735"/>
      <tableStyleElement type="secondRowStripe" dxfId="734"/>
    </tableStyle>
    <tableStyle name="PRE FINAL 1.4(FACTORS QUESTIONS-style 113" pivot="0" count="2" xr9:uid="{00000000-0011-0000-FFFF-FFFF45030000}">
      <tableStyleElement type="firstRowStripe" dxfId="733"/>
      <tableStyleElement type="secondRowStripe" dxfId="732"/>
    </tableStyle>
    <tableStyle name="PRE FINAL 1.4(FACTORS QUESTIONS-style 114" pivot="0" count="2" xr9:uid="{00000000-0011-0000-FFFF-FFFF46030000}">
      <tableStyleElement type="firstRowStripe" dxfId="731"/>
      <tableStyleElement type="secondRowStripe" dxfId="730"/>
    </tableStyle>
    <tableStyle name="PRE FINAL 1.4(FACTORS QUESTIONS-style 115" pivot="0" count="2" xr9:uid="{00000000-0011-0000-FFFF-FFFF47030000}">
      <tableStyleElement type="firstRowStripe" dxfId="729"/>
      <tableStyleElement type="secondRowStripe" dxfId="728"/>
    </tableStyle>
    <tableStyle name="PRE FINAL 1.4(FACTORS QUESTIONS-style 116" pivot="0" count="2" xr9:uid="{00000000-0011-0000-FFFF-FFFF48030000}">
      <tableStyleElement type="firstRowStripe" dxfId="727"/>
      <tableStyleElement type="secondRowStripe" dxfId="726"/>
    </tableStyle>
    <tableStyle name="PRE FINAL 1.4(FACTORS QUESTIONS-style 117" pivot="0" count="2" xr9:uid="{00000000-0011-0000-FFFF-FFFF49030000}">
      <tableStyleElement type="firstRowStripe" dxfId="725"/>
      <tableStyleElement type="secondRowStripe" dxfId="724"/>
    </tableStyle>
    <tableStyle name="PRE FINAL 1.4(FACTORS QUESTIONS-style 118" pivot="0" count="2" xr9:uid="{00000000-0011-0000-FFFF-FFFF4A030000}">
      <tableStyleElement type="firstRowStripe" dxfId="723"/>
      <tableStyleElement type="secondRowStripe" dxfId="722"/>
    </tableStyle>
    <tableStyle name="PRE FINAL 1.4(FACTORS QUESTIONS-style 119" pivot="0" count="2" xr9:uid="{00000000-0011-0000-FFFF-FFFF4B030000}">
      <tableStyleElement type="firstRowStripe" dxfId="721"/>
      <tableStyleElement type="secondRowStripe" dxfId="720"/>
    </tableStyle>
    <tableStyle name="PRE FINAL 1.4(FACTORS QUESTIONS-style 120" pivot="0" count="2" xr9:uid="{00000000-0011-0000-FFFF-FFFF4C030000}">
      <tableStyleElement type="firstRowStripe" dxfId="719"/>
      <tableStyleElement type="secondRowStripe" dxfId="718"/>
    </tableStyle>
    <tableStyle name="PRE FINAL 1.4(FACTORS QUESTIONS-style 121" pivot="0" count="2" xr9:uid="{00000000-0011-0000-FFFF-FFFF4D030000}">
      <tableStyleElement type="firstRowStripe" dxfId="717"/>
      <tableStyleElement type="secondRowStripe" dxfId="716"/>
    </tableStyle>
    <tableStyle name="PRE FINAL 1.4(FACTORS QUESTIONS-style 122" pivot="0" count="2" xr9:uid="{00000000-0011-0000-FFFF-FFFF4E030000}">
      <tableStyleElement type="firstRowStripe" dxfId="715"/>
      <tableStyleElement type="secondRowStripe" dxfId="714"/>
    </tableStyle>
    <tableStyle name="PRE FINAL 1.4(FACTORS QUESTIONS-style 123" pivot="0" count="2" xr9:uid="{00000000-0011-0000-FFFF-FFFF4F030000}">
      <tableStyleElement type="firstRowStripe" dxfId="713"/>
      <tableStyleElement type="secondRowStripe" dxfId="712"/>
    </tableStyle>
    <tableStyle name="PRE FINAL 1.4(FACTORS QUESTIONS-style 124" pivot="0" count="2" xr9:uid="{00000000-0011-0000-FFFF-FFFF50030000}">
      <tableStyleElement type="firstRowStripe" dxfId="711"/>
      <tableStyleElement type="secondRowStripe" dxfId="710"/>
    </tableStyle>
    <tableStyle name="PRE FINAL 1.4(FACTORS QUESTIONS-style 125" pivot="0" count="2" xr9:uid="{00000000-0011-0000-FFFF-FFFF51030000}">
      <tableStyleElement type="firstRowStripe" dxfId="709"/>
      <tableStyleElement type="secondRowStripe" dxfId="708"/>
    </tableStyle>
    <tableStyle name="PRE FINAL 1.4(FACTORS QUESTIONS-style 126" pivot="0" count="2" xr9:uid="{00000000-0011-0000-FFFF-FFFF52030000}">
      <tableStyleElement type="firstRowStripe" dxfId="707"/>
      <tableStyleElement type="secondRowStripe" dxfId="706"/>
    </tableStyle>
    <tableStyle name="PRE FINAL 1.4(FACTORS QUESTIONS-style 127" pivot="0" count="2" xr9:uid="{00000000-0011-0000-FFFF-FFFF53030000}">
      <tableStyleElement type="firstRowStripe" dxfId="705"/>
      <tableStyleElement type="secondRowStripe" dxfId="704"/>
    </tableStyle>
    <tableStyle name="PRE FINAL 1.4(FACTORS QUESTIONS-style 128" pivot="0" count="2" xr9:uid="{00000000-0011-0000-FFFF-FFFF54030000}">
      <tableStyleElement type="firstRowStripe" dxfId="703"/>
      <tableStyleElement type="secondRowStripe" dxfId="702"/>
    </tableStyle>
    <tableStyle name="PRE FINAL 1.4(FACTORS QUESTIONS-style 129" pivot="0" count="2" xr9:uid="{00000000-0011-0000-FFFF-FFFF55030000}">
      <tableStyleElement type="firstRowStripe" dxfId="701"/>
      <tableStyleElement type="secondRowStripe" dxfId="700"/>
    </tableStyle>
    <tableStyle name="PRE FINAL 1.4(FACTORS QUESTIONS-style 130" pivot="0" count="2" xr9:uid="{00000000-0011-0000-FFFF-FFFF56030000}">
      <tableStyleElement type="firstRowStripe" dxfId="699"/>
      <tableStyleElement type="secondRowStripe" dxfId="698"/>
    </tableStyle>
    <tableStyle name="PRE FINAL 1.4(FACTORS QUESTIONS-style 131" pivot="0" count="2" xr9:uid="{00000000-0011-0000-FFFF-FFFF57030000}">
      <tableStyleElement type="firstRowStripe" dxfId="697"/>
      <tableStyleElement type="secondRowStripe" dxfId="696"/>
    </tableStyle>
    <tableStyle name="FINAL 1.1-style" pivot="0" count="2" xr9:uid="{00000000-0011-0000-FFFF-FFFF58030000}">
      <tableStyleElement type="firstRowStripe" dxfId="695"/>
      <tableStyleElement type="secondRowStripe" dxfId="694"/>
    </tableStyle>
    <tableStyle name="FINAL 1.1-style 2" pivot="0" count="2" xr9:uid="{00000000-0011-0000-FFFF-FFFF59030000}">
      <tableStyleElement type="firstRowStripe" dxfId="693"/>
      <tableStyleElement type="secondRowStripe" dxfId="692"/>
    </tableStyle>
    <tableStyle name="FINAL 1.1-style 3" pivot="0" count="2" xr9:uid="{00000000-0011-0000-FFFF-FFFF5A030000}">
      <tableStyleElement type="firstRowStripe" dxfId="691"/>
      <tableStyleElement type="secondRowStripe" dxfId="690"/>
    </tableStyle>
    <tableStyle name="FINAL 1.1-style 4" pivot="0" count="2" xr9:uid="{00000000-0011-0000-FFFF-FFFF5B030000}">
      <tableStyleElement type="firstRowStripe" dxfId="689"/>
      <tableStyleElement type="secondRowStripe" dxfId="688"/>
    </tableStyle>
    <tableStyle name="FINAL 1.1-style 5" pivot="0" count="2" xr9:uid="{00000000-0011-0000-FFFF-FFFF5C030000}">
      <tableStyleElement type="firstRowStripe" dxfId="687"/>
      <tableStyleElement type="secondRowStripe" dxfId="686"/>
    </tableStyle>
    <tableStyle name="FINAL 1.1-style 6" pivot="0" count="2" xr9:uid="{00000000-0011-0000-FFFF-FFFF5D030000}">
      <tableStyleElement type="firstRowStripe" dxfId="685"/>
      <tableStyleElement type="secondRowStripe" dxfId="684"/>
    </tableStyle>
    <tableStyle name="FINAL 1.1-style 7" pivot="0" count="2" xr9:uid="{00000000-0011-0000-FFFF-FFFF5E030000}">
      <tableStyleElement type="firstRowStripe" dxfId="683"/>
      <tableStyleElement type="secondRowStripe" dxfId="682"/>
    </tableStyle>
    <tableStyle name="FINAL 1.1-style 8" pivot="0" count="2" xr9:uid="{00000000-0011-0000-FFFF-FFFF5F030000}">
      <tableStyleElement type="firstRowStripe" dxfId="681"/>
      <tableStyleElement type="secondRowStripe" dxfId="680"/>
    </tableStyle>
    <tableStyle name="FINAL 1.1-style 9" pivot="0" count="2" xr9:uid="{00000000-0011-0000-FFFF-FFFF60030000}">
      <tableStyleElement type="firstRowStripe" dxfId="679"/>
      <tableStyleElement type="secondRowStripe" dxfId="678"/>
    </tableStyle>
    <tableStyle name="FINAL 1.1-style 10" pivot="0" count="2" xr9:uid="{00000000-0011-0000-FFFF-FFFF61030000}">
      <tableStyleElement type="firstRowStripe" dxfId="677"/>
      <tableStyleElement type="secondRowStripe" dxfId="676"/>
    </tableStyle>
    <tableStyle name="FINAL 1.1-style 11" pivot="0" count="2" xr9:uid="{00000000-0011-0000-FFFF-FFFF62030000}">
      <tableStyleElement type="firstRowStripe" dxfId="675"/>
      <tableStyleElement type="secondRowStripe" dxfId="674"/>
    </tableStyle>
    <tableStyle name="FINAL 1.1-style 12" pivot="0" count="2" xr9:uid="{00000000-0011-0000-FFFF-FFFF63030000}">
      <tableStyleElement type="firstRowStripe" dxfId="673"/>
      <tableStyleElement type="secondRowStripe" dxfId="672"/>
    </tableStyle>
    <tableStyle name="FINAL 1.1-style 13" pivot="0" count="2" xr9:uid="{00000000-0011-0000-FFFF-FFFF64030000}">
      <tableStyleElement type="firstRowStripe" dxfId="671"/>
      <tableStyleElement type="secondRowStripe" dxfId="670"/>
    </tableStyle>
    <tableStyle name="FINAL 1.1-style 14" pivot="0" count="2" xr9:uid="{00000000-0011-0000-FFFF-FFFF65030000}">
      <tableStyleElement type="firstRowStripe" dxfId="669"/>
      <tableStyleElement type="secondRowStripe" dxfId="668"/>
    </tableStyle>
    <tableStyle name="FINAL 1.1-style 15" pivot="0" count="2" xr9:uid="{00000000-0011-0000-FFFF-FFFF66030000}">
      <tableStyleElement type="firstRowStripe" dxfId="667"/>
      <tableStyleElement type="secondRowStripe" dxfId="666"/>
    </tableStyle>
    <tableStyle name="FINAL 1.1-style 16" pivot="0" count="2" xr9:uid="{00000000-0011-0000-FFFF-FFFF67030000}">
      <tableStyleElement type="firstRowStripe" dxfId="665"/>
      <tableStyleElement type="secondRowStripe" dxfId="664"/>
    </tableStyle>
    <tableStyle name="FINAL 1.1-style 17" pivot="0" count="2" xr9:uid="{00000000-0011-0000-FFFF-FFFF68030000}">
      <tableStyleElement type="firstRowStripe" dxfId="663"/>
      <tableStyleElement type="secondRowStripe" dxfId="662"/>
    </tableStyle>
    <tableStyle name="FINAL 1.1-style 18" pivot="0" count="2" xr9:uid="{00000000-0011-0000-FFFF-FFFF69030000}">
      <tableStyleElement type="firstRowStripe" dxfId="661"/>
      <tableStyleElement type="secondRowStripe" dxfId="660"/>
    </tableStyle>
    <tableStyle name="FINAL 1.1-style 19" pivot="0" count="2" xr9:uid="{00000000-0011-0000-FFFF-FFFF6A030000}">
      <tableStyleElement type="firstRowStripe" dxfId="659"/>
      <tableStyleElement type="secondRowStripe" dxfId="658"/>
    </tableStyle>
    <tableStyle name="FINAL 1.1-style 20" pivot="0" count="2" xr9:uid="{00000000-0011-0000-FFFF-FFFF6B030000}">
      <tableStyleElement type="firstRowStripe" dxfId="657"/>
      <tableStyleElement type="secondRowStripe" dxfId="656"/>
    </tableStyle>
    <tableStyle name="FINAL 1.1-style 21" pivot="0" count="2" xr9:uid="{00000000-0011-0000-FFFF-FFFF6C030000}">
      <tableStyleElement type="firstRowStripe" dxfId="655"/>
      <tableStyleElement type="secondRowStripe" dxfId="654"/>
    </tableStyle>
    <tableStyle name="FINAL 1.1-style 22" pivot="0" count="2" xr9:uid="{00000000-0011-0000-FFFF-FFFF6D030000}">
      <tableStyleElement type="firstRowStripe" dxfId="653"/>
      <tableStyleElement type="secondRowStripe" dxfId="652"/>
    </tableStyle>
    <tableStyle name="FINAL 1.1-style 23" pivot="0" count="2" xr9:uid="{00000000-0011-0000-FFFF-FFFF6E030000}">
      <tableStyleElement type="firstRowStripe" dxfId="651"/>
      <tableStyleElement type="secondRowStripe" dxfId="650"/>
    </tableStyle>
    <tableStyle name="FINAL 1.1-style 24" pivot="0" count="2" xr9:uid="{00000000-0011-0000-FFFF-FFFF6F030000}">
      <tableStyleElement type="firstRowStripe" dxfId="649"/>
      <tableStyleElement type="secondRowStripe" dxfId="648"/>
    </tableStyle>
    <tableStyle name="FINAL 1.1-style 25" pivot="0" count="2" xr9:uid="{00000000-0011-0000-FFFF-FFFF70030000}">
      <tableStyleElement type="firstRowStripe" dxfId="647"/>
      <tableStyleElement type="secondRowStripe" dxfId="646"/>
    </tableStyle>
    <tableStyle name="FINAL 1.2 (Data Use for System)-style" pivot="0" count="4" xr9:uid="{00000000-0011-0000-FFFF-FFFF71030000}">
      <tableStyleElement type="wholeTable" size="0" dxfId="645"/>
      <tableStyleElement type="headerRow" dxfId="644"/>
      <tableStyleElement type="firstRowStripe" dxfId="643"/>
      <tableStyleElement type="secondRowStripe" dxfId="642"/>
    </tableStyle>
    <tableStyle name="FINAL 1.2 (Data Use for System)-style 2" pivot="0" count="2" xr9:uid="{00000000-0011-0000-FFFF-FFFF72030000}">
      <tableStyleElement type="firstRowStripe" dxfId="641"/>
      <tableStyleElement type="secondRowStripe" dxfId="640"/>
    </tableStyle>
    <tableStyle name="FINAL 1.2 (Data Use for System)-style 3" pivot="0" count="2" xr9:uid="{00000000-0011-0000-FFFF-FFFF73030000}">
      <tableStyleElement type="firstRowStripe" dxfId="639"/>
      <tableStyleElement type="secondRowStripe" dxfId="638"/>
    </tableStyle>
    <tableStyle name="FINAL 1.2 (Data Use for System)-style 4" pivot="0" count="2" xr9:uid="{00000000-0011-0000-FFFF-FFFF74030000}">
      <tableStyleElement type="firstRowStripe" dxfId="637"/>
      <tableStyleElement type="secondRowStripe" dxfId="636"/>
    </tableStyle>
    <tableStyle name="FINAL 1.2 (Data Use for System)-style 5" pivot="0" count="2" xr9:uid="{00000000-0011-0000-FFFF-FFFF75030000}">
      <tableStyleElement type="firstRowStripe" dxfId="635"/>
      <tableStyleElement type="secondRowStripe" dxfId="634"/>
    </tableStyle>
    <tableStyle name="FINAL 1.2 (Data Use for System)-style 6" pivot="0" count="2" xr9:uid="{00000000-0011-0000-FFFF-FFFF76030000}">
      <tableStyleElement type="firstRowStripe" dxfId="633"/>
      <tableStyleElement type="secondRowStripe" dxfId="632"/>
    </tableStyle>
    <tableStyle name="FINAL 1.2 (Data Use for System)-style 7" pivot="0" count="2" xr9:uid="{00000000-0011-0000-FFFF-FFFF77030000}">
      <tableStyleElement type="firstRowStripe" dxfId="631"/>
      <tableStyleElement type="secondRowStripe" dxfId="630"/>
    </tableStyle>
    <tableStyle name="FINAL 1.2 (Data Use for System)-style 8" pivot="0" count="2" xr9:uid="{00000000-0011-0000-FFFF-FFFF78030000}">
      <tableStyleElement type="firstRowStripe" dxfId="629"/>
      <tableStyleElement type="secondRowStripe" dxfId="628"/>
    </tableStyle>
    <tableStyle name="FINAL 1.2 (Data Use for System)-style 9" pivot="0" count="2" xr9:uid="{00000000-0011-0000-FFFF-FFFF79030000}">
      <tableStyleElement type="firstRowStripe" dxfId="627"/>
      <tableStyleElement type="secondRowStripe" dxfId="626"/>
    </tableStyle>
    <tableStyle name="FINAL 1.2 (Data Use for System)-style 10" pivot="0" count="2" xr9:uid="{00000000-0011-0000-FFFF-FFFF7A030000}">
      <tableStyleElement type="firstRowStripe" dxfId="625"/>
      <tableStyleElement type="secondRowStripe" dxfId="624"/>
    </tableStyle>
    <tableStyle name="FINAL 1.2 (Data Use for System)-style 11" pivot="0" count="2" xr9:uid="{00000000-0011-0000-FFFF-FFFF7B030000}">
      <tableStyleElement type="firstRowStripe" dxfId="623"/>
      <tableStyleElement type="secondRowStripe" dxfId="622"/>
    </tableStyle>
    <tableStyle name="FINAL 1.2 (Data Use for System)-style 12" pivot="0" count="2" xr9:uid="{00000000-0011-0000-FFFF-FFFF7C030000}">
      <tableStyleElement type="firstRowStripe" dxfId="621"/>
      <tableStyleElement type="secondRowStripe" dxfId="620"/>
    </tableStyle>
    <tableStyle name="FINAL 1.2 (Data Use for System)-style 13" pivot="0" count="2" xr9:uid="{00000000-0011-0000-FFFF-FFFF7D030000}">
      <tableStyleElement type="firstRowStripe" dxfId="619"/>
      <tableStyleElement type="secondRowStripe" dxfId="618"/>
    </tableStyle>
    <tableStyle name="FINAL 1.2 (Data Use for System)-style 14" pivot="0" count="2" xr9:uid="{00000000-0011-0000-FFFF-FFFF7E030000}">
      <tableStyleElement type="firstRowStripe" dxfId="617"/>
      <tableStyleElement type="secondRowStripe" dxfId="616"/>
    </tableStyle>
    <tableStyle name="FINAL 1.2 (Data Use for System)-style 15" pivot="0" count="2" xr9:uid="{00000000-0011-0000-FFFF-FFFF7F030000}">
      <tableStyleElement type="firstRowStripe" dxfId="615"/>
      <tableStyleElement type="secondRowStripe" dxfId="614"/>
    </tableStyle>
    <tableStyle name="FINAL 1.2 (Data Use for System)-style 16" pivot="0" count="2" xr9:uid="{00000000-0011-0000-FFFF-FFFF80030000}">
      <tableStyleElement type="firstRowStripe" dxfId="613"/>
      <tableStyleElement type="secondRowStripe" dxfId="612"/>
    </tableStyle>
    <tableStyle name="FINAL 1.2 (Data Use for System)-style 17" pivot="0" count="2" xr9:uid="{00000000-0011-0000-FFFF-FFFF81030000}">
      <tableStyleElement type="firstRowStripe" dxfId="611"/>
      <tableStyleElement type="secondRowStripe" dxfId="610"/>
    </tableStyle>
    <tableStyle name="FINAL 1.2 (Data Use for System)-style 18" pivot="0" count="2" xr9:uid="{00000000-0011-0000-FFFF-FFFF82030000}">
      <tableStyleElement type="firstRowStripe" dxfId="609"/>
      <tableStyleElement type="secondRowStripe" dxfId="608"/>
    </tableStyle>
    <tableStyle name="FINAL 1.2 (Data Use for System)-style 19" pivot="0" count="2" xr9:uid="{00000000-0011-0000-FFFF-FFFF83030000}">
      <tableStyleElement type="firstRowStripe" dxfId="607"/>
      <tableStyleElement type="secondRowStripe" dxfId="606"/>
    </tableStyle>
    <tableStyle name="FINAL 1.2 (Data Use for System)-style 20" pivot="0" count="2" xr9:uid="{00000000-0011-0000-FFFF-FFFF84030000}">
      <tableStyleElement type="firstRowStripe" dxfId="605"/>
      <tableStyleElement type="secondRowStripe" dxfId="604"/>
    </tableStyle>
    <tableStyle name="FINAL 1.2 (Data Use for System)-style 21" pivot="0" count="2" xr9:uid="{00000000-0011-0000-FFFF-FFFF85030000}">
      <tableStyleElement type="firstRowStripe" dxfId="603"/>
      <tableStyleElement type="secondRowStripe" dxfId="602"/>
    </tableStyle>
    <tableStyle name="FINAL 1.2 (Data Use for System)-style 22" pivot="0" count="2" xr9:uid="{00000000-0011-0000-FFFF-FFFF86030000}">
      <tableStyleElement type="firstRowStripe" dxfId="601"/>
      <tableStyleElement type="secondRowStripe" dxfId="600"/>
    </tableStyle>
    <tableStyle name="FINAL 1.2 (Data Use for System)-style 23" pivot="0" count="2" xr9:uid="{00000000-0011-0000-FFFF-FFFF87030000}">
      <tableStyleElement type="firstRowStripe" dxfId="599"/>
      <tableStyleElement type="secondRowStripe" dxfId="598"/>
    </tableStyle>
    <tableStyle name="FINAL 1.2 (Data Use for System)-style 24" pivot="0" count="2" xr9:uid="{00000000-0011-0000-FFFF-FFFF88030000}">
      <tableStyleElement type="firstRowStripe" dxfId="597"/>
      <tableStyleElement type="secondRowStripe" dxfId="596"/>
    </tableStyle>
    <tableStyle name="FINAL 1.2 (Data Use for System)-style 25" pivot="0" count="2" xr9:uid="{00000000-0011-0000-FFFF-FFFF89030000}">
      <tableStyleElement type="firstRowStripe" dxfId="595"/>
      <tableStyleElement type="secondRowStripe" dxfId="594"/>
    </tableStyle>
    <tableStyle name="FINAL 1.2 (Data Use for System)-style 26" pivot="0" count="2" xr9:uid="{00000000-0011-0000-FFFF-FFFF8A030000}">
      <tableStyleElement type="firstRowStripe" dxfId="593"/>
      <tableStyleElement type="secondRowStripe" dxfId="592"/>
    </tableStyle>
    <tableStyle name="FINAL 1.2 (Data Use for System)-style 27" pivot="0" count="2" xr9:uid="{00000000-0011-0000-FFFF-FFFF8B030000}">
      <tableStyleElement type="firstRowStripe" dxfId="591"/>
      <tableStyleElement type="secondRowStripe" dxfId="590"/>
    </tableStyle>
    <tableStyle name="FINAL 1.2 (Data Use for System)-style 28" pivot="0" count="2" xr9:uid="{00000000-0011-0000-FFFF-FFFF8C030000}">
      <tableStyleElement type="firstRowStripe" dxfId="589"/>
      <tableStyleElement type="secondRowStripe" dxfId="588"/>
    </tableStyle>
    <tableStyle name="FINAL 1.2 (Data Use for System)-style 29" pivot="0" count="2" xr9:uid="{00000000-0011-0000-FFFF-FFFF8D030000}">
      <tableStyleElement type="firstRowStripe" dxfId="587"/>
      <tableStyleElement type="secondRowStripe" dxfId="586"/>
    </tableStyle>
    <tableStyle name="FINAL 1.2 (Data Use for System)-style 30" pivot="0" count="2" xr9:uid="{00000000-0011-0000-FFFF-FFFF8E030000}">
      <tableStyleElement type="firstRowStripe" dxfId="585"/>
      <tableStyleElement type="secondRowStripe" dxfId="584"/>
    </tableStyle>
    <tableStyle name="FINAL 1.2 (Data Use for System)-style 31" pivot="0" count="2" xr9:uid="{00000000-0011-0000-FFFF-FFFF8F030000}">
      <tableStyleElement type="firstRowStripe" dxfId="583"/>
      <tableStyleElement type="secondRowStripe" dxfId="582"/>
    </tableStyle>
    <tableStyle name="FINAL 1.2 (Data Use for System)-style 32" pivot="0" count="2" xr9:uid="{00000000-0011-0000-FFFF-FFFF90030000}">
      <tableStyleElement type="firstRowStripe" dxfId="581"/>
      <tableStyleElement type="secondRowStripe" dxfId="580"/>
    </tableStyle>
    <tableStyle name="FINAL 1.2 (Data Use for System)-style 33" pivot="0" count="2" xr9:uid="{00000000-0011-0000-FFFF-FFFF91030000}">
      <tableStyleElement type="firstRowStripe" dxfId="579"/>
      <tableStyleElement type="secondRowStripe" dxfId="578"/>
    </tableStyle>
    <tableStyle name="FINAL 1.2 (Data Use for System)-style 34" pivot="0" count="2" xr9:uid="{00000000-0011-0000-FFFF-FFFF92030000}">
      <tableStyleElement type="firstRowStripe" dxfId="577"/>
      <tableStyleElement type="secondRowStripe" dxfId="576"/>
    </tableStyle>
    <tableStyle name="FINAL 1.2 (Data Use for System)-style 35" pivot="0" count="2" xr9:uid="{00000000-0011-0000-FFFF-FFFF93030000}">
      <tableStyleElement type="firstRowStripe" dxfId="575"/>
      <tableStyleElement type="secondRowStripe" dxfId="574"/>
    </tableStyle>
    <tableStyle name="FINAL 1.2 (Data Use for System)-style 36" pivot="0" count="2" xr9:uid="{00000000-0011-0000-FFFF-FFFF94030000}">
      <tableStyleElement type="firstRowStripe" dxfId="573"/>
      <tableStyleElement type="secondRowStripe" dxfId="572"/>
    </tableStyle>
    <tableStyle name="FINAL 1.2 (Data Use for System)-style 37" pivot="0" count="2" xr9:uid="{00000000-0011-0000-FFFF-FFFF95030000}">
      <tableStyleElement type="firstRowStripe" dxfId="571"/>
      <tableStyleElement type="secondRowStripe" dxfId="570"/>
    </tableStyle>
    <tableStyle name="FINAL 1.2 (Data Use for System)-style 38" pivot="0" count="2" xr9:uid="{00000000-0011-0000-FFFF-FFFF96030000}">
      <tableStyleElement type="firstRowStripe" dxfId="569"/>
      <tableStyleElement type="secondRowStripe" dxfId="568"/>
    </tableStyle>
    <tableStyle name="FINAL 1.2 (Data Use for System)-style 39" pivot="0" count="2" xr9:uid="{00000000-0011-0000-FFFF-FFFF97030000}">
      <tableStyleElement type="firstRowStripe" dxfId="567"/>
      <tableStyleElement type="secondRowStripe" dxfId="566"/>
    </tableStyle>
    <tableStyle name="FINAL 1.2 (Data Use for System)-style 40" pivot="0" count="2" xr9:uid="{00000000-0011-0000-FFFF-FFFF98030000}">
      <tableStyleElement type="firstRowStripe" dxfId="565"/>
      <tableStyleElement type="secondRowStripe" dxfId="564"/>
    </tableStyle>
    <tableStyle name="FINAL 1.2 (Data Use for System)-style 41" pivot="0" count="2" xr9:uid="{00000000-0011-0000-FFFF-FFFF99030000}">
      <tableStyleElement type="firstRowStripe" dxfId="563"/>
      <tableStyleElement type="secondRowStripe" dxfId="562"/>
    </tableStyle>
    <tableStyle name="FINAL 1.2 (Data Use for System)-style 42" pivot="0" count="2" xr9:uid="{00000000-0011-0000-FFFF-FFFF9A030000}">
      <tableStyleElement type="firstRowStripe" dxfId="561"/>
      <tableStyleElement type="secondRowStripe" dxfId="560"/>
    </tableStyle>
    <tableStyle name="FINAL 1.2 (Data Use for System)-style 43" pivot="0" count="2" xr9:uid="{00000000-0011-0000-FFFF-FFFF9B030000}">
      <tableStyleElement type="firstRowStripe" dxfId="559"/>
      <tableStyleElement type="secondRowStripe" dxfId="558"/>
    </tableStyle>
    <tableStyle name="FINAL 1.2 (Data Use for System)-style 44" pivot="0" count="2" xr9:uid="{00000000-0011-0000-FFFF-FFFF9C030000}">
      <tableStyleElement type="firstRowStripe" dxfId="557"/>
      <tableStyleElement type="secondRowStripe" dxfId="556"/>
    </tableStyle>
    <tableStyle name="FINAL 1.2 (Data Use for System)-style 45" pivot="0" count="2" xr9:uid="{00000000-0011-0000-FFFF-FFFF9D030000}">
      <tableStyleElement type="firstRowStripe" dxfId="555"/>
      <tableStyleElement type="secondRowStripe" dxfId="554"/>
    </tableStyle>
    <tableStyle name="FINAL 1.2 (Data Use for System)-style 46" pivot="0" count="2" xr9:uid="{00000000-0011-0000-FFFF-FFFF9E030000}">
      <tableStyleElement type="firstRowStripe" dxfId="553"/>
      <tableStyleElement type="secondRowStripe" dxfId="552"/>
    </tableStyle>
    <tableStyle name="FINAL 1.2 (Data Use for System)-style 47" pivot="0" count="2" xr9:uid="{00000000-0011-0000-FFFF-FFFF9F030000}">
      <tableStyleElement type="firstRowStripe" dxfId="551"/>
      <tableStyleElement type="secondRowStripe" dxfId="550"/>
    </tableStyle>
    <tableStyle name="FINAL 1.2 (Data Use for System)-style 48" pivot="0" count="2" xr9:uid="{00000000-0011-0000-FFFF-FFFFA0030000}">
      <tableStyleElement type="firstRowStripe" dxfId="549"/>
      <tableStyleElement type="secondRowStripe" dxfId="548"/>
    </tableStyle>
    <tableStyle name="FINAL 1.2 (Data Use for System)-style 49" pivot="0" count="2" xr9:uid="{00000000-0011-0000-FFFF-FFFFA1030000}">
      <tableStyleElement type="firstRowStripe" dxfId="547"/>
      <tableStyleElement type="secondRowStripe" dxfId="546"/>
    </tableStyle>
    <tableStyle name="FINAL 1.2 (Data Use for System)-style 50" pivot="0" count="2" xr9:uid="{00000000-0011-0000-FFFF-FFFFA2030000}">
      <tableStyleElement type="firstRowStripe" dxfId="545"/>
      <tableStyleElement type="secondRowStripe" dxfId="544"/>
    </tableStyle>
    <tableStyle name="FINAL 1.2 (Data Use for System)-style 51" pivot="0" count="2" xr9:uid="{00000000-0011-0000-FFFF-FFFFA3030000}">
      <tableStyleElement type="firstRowStripe" dxfId="543"/>
      <tableStyleElement type="secondRowStripe" dxfId="542"/>
    </tableStyle>
    <tableStyle name="FINAL 1.2 (Data Use for System)-style 52" pivot="0" count="2" xr9:uid="{00000000-0011-0000-FFFF-FFFFA4030000}">
      <tableStyleElement type="firstRowStripe" dxfId="541"/>
      <tableStyleElement type="secondRowStripe" dxfId="540"/>
    </tableStyle>
    <tableStyle name="FINAL 1.2 (Data Use for System)-style 53" pivot="0" count="2" xr9:uid="{00000000-0011-0000-FFFF-FFFFA5030000}">
      <tableStyleElement type="firstRowStripe" dxfId="539"/>
      <tableStyleElement type="secondRowStripe" dxfId="538"/>
    </tableStyle>
    <tableStyle name="FINAL 1.2 (Data Use for System)-style 54" pivot="0" count="2" xr9:uid="{00000000-0011-0000-FFFF-FFFFA6030000}">
      <tableStyleElement type="firstRowStripe" dxfId="537"/>
      <tableStyleElement type="secondRowStripe" dxfId="536"/>
    </tableStyle>
    <tableStyle name="FINAL 1.2 (Data Use for System)-style 55" pivot="0" count="2" xr9:uid="{00000000-0011-0000-FFFF-FFFFA7030000}">
      <tableStyleElement type="firstRowStripe" dxfId="535"/>
      <tableStyleElement type="secondRowStripe" dxfId="534"/>
    </tableStyle>
    <tableStyle name="FINAL 1.2 (Data Use for System)-style 56" pivot="0" count="2" xr9:uid="{00000000-0011-0000-FFFF-FFFFA8030000}">
      <tableStyleElement type="firstRowStripe" dxfId="533"/>
      <tableStyleElement type="secondRowStripe" dxfId="532"/>
    </tableStyle>
    <tableStyle name="FINAL 1.2 (Data Use for System)-style 57" pivot="0" count="2" xr9:uid="{00000000-0011-0000-FFFF-FFFFA9030000}">
      <tableStyleElement type="firstRowStripe" dxfId="531"/>
      <tableStyleElement type="secondRowStripe" dxfId="530"/>
    </tableStyle>
    <tableStyle name="FINAL 1.2 (Data Use for System)-style 58" pivot="0" count="2" xr9:uid="{00000000-0011-0000-FFFF-FFFFAA030000}">
      <tableStyleElement type="firstRowStripe" dxfId="529"/>
      <tableStyleElement type="secondRowStripe" dxfId="528"/>
    </tableStyle>
    <tableStyle name="FINAL 1.2 (Data Use for System)-style 59" pivot="0" count="2" xr9:uid="{00000000-0011-0000-FFFF-FFFFAB030000}">
      <tableStyleElement type="firstRowStripe" dxfId="527"/>
      <tableStyleElement type="secondRowStripe" dxfId="526"/>
    </tableStyle>
    <tableStyle name="FINAL 1.2 (Data Use for System)-style 60" pivot="0" count="2" xr9:uid="{00000000-0011-0000-FFFF-FFFFAC030000}">
      <tableStyleElement type="firstRowStripe" dxfId="525"/>
      <tableStyleElement type="secondRowStripe" dxfId="524"/>
    </tableStyle>
    <tableStyle name="FINAL 1.2 (Data Use for System)-style 61" pivot="0" count="2" xr9:uid="{00000000-0011-0000-FFFF-FFFFAD030000}">
      <tableStyleElement type="firstRowStripe" dxfId="523"/>
      <tableStyleElement type="secondRowStripe" dxfId="522"/>
    </tableStyle>
    <tableStyle name="FINAL 1.2 (Data Use for System)-style 62" pivot="0" count="2" xr9:uid="{00000000-0011-0000-FFFF-FFFFAE030000}">
      <tableStyleElement type="firstRowStripe" dxfId="521"/>
      <tableStyleElement type="secondRowStripe" dxfId="520"/>
    </tableStyle>
    <tableStyle name="FINAL 1.2 (Data Use for System)-style 63" pivot="0" count="2" xr9:uid="{00000000-0011-0000-FFFF-FFFFAF030000}">
      <tableStyleElement type="firstRowStripe" dxfId="519"/>
      <tableStyleElement type="secondRowStripe" dxfId="518"/>
    </tableStyle>
    <tableStyle name="FINAL 1.2 (Data Use for System)-style 64" pivot="0" count="2" xr9:uid="{00000000-0011-0000-FFFF-FFFFB0030000}">
      <tableStyleElement type="firstRowStripe" dxfId="517"/>
      <tableStyleElement type="secondRowStripe" dxfId="516"/>
    </tableStyle>
    <tableStyle name="FINAL 1.2 (Data Use for System)-style 65" pivot="0" count="2" xr9:uid="{00000000-0011-0000-FFFF-FFFFB1030000}">
      <tableStyleElement type="firstRowStripe" dxfId="515"/>
      <tableStyleElement type="secondRowStripe" dxfId="514"/>
    </tableStyle>
    <tableStyle name="FINAL 1.2 (Data Use for System)-style 66" pivot="0" count="2" xr9:uid="{00000000-0011-0000-FFFF-FFFFB2030000}">
      <tableStyleElement type="firstRowStripe" dxfId="513"/>
      <tableStyleElement type="secondRowStripe" dxfId="512"/>
    </tableStyle>
    <tableStyle name="FINAL 1.2 (Data Use for System)-style 67" pivot="0" count="2" xr9:uid="{00000000-0011-0000-FFFF-FFFFB3030000}">
      <tableStyleElement type="firstRowStripe" dxfId="511"/>
      <tableStyleElement type="secondRowStripe" dxfId="510"/>
    </tableStyle>
    <tableStyle name="FINAL 1.2 (Data Use for System)-style 68" pivot="0" count="2" xr9:uid="{00000000-0011-0000-FFFF-FFFFB4030000}">
      <tableStyleElement type="firstRowStripe" dxfId="509"/>
      <tableStyleElement type="secondRowStripe" dxfId="508"/>
    </tableStyle>
    <tableStyle name="FINAL 1.2 (Data Use for System)-style 69" pivot="0" count="2" xr9:uid="{00000000-0011-0000-FFFF-FFFFB5030000}">
      <tableStyleElement type="firstRowStripe" dxfId="507"/>
      <tableStyleElement type="secondRowStripe" dxfId="506"/>
    </tableStyle>
    <tableStyle name="FINAL 1.2 (Data Use for System)-style 70" pivot="0" count="2" xr9:uid="{00000000-0011-0000-FFFF-FFFFB6030000}">
      <tableStyleElement type="firstRowStripe" dxfId="505"/>
      <tableStyleElement type="secondRowStripe" dxfId="504"/>
    </tableStyle>
    <tableStyle name="FINAL 1.2 (Data Use for System)-style 71" pivot="0" count="2" xr9:uid="{00000000-0011-0000-FFFF-FFFFB7030000}">
      <tableStyleElement type="firstRowStripe" dxfId="503"/>
      <tableStyleElement type="secondRowStripe" dxfId="502"/>
    </tableStyle>
    <tableStyle name="FINAL 1.2 (Data Use for System)-style 72" pivot="0" count="2" xr9:uid="{00000000-0011-0000-FFFF-FFFFB8030000}">
      <tableStyleElement type="firstRowStripe" dxfId="501"/>
      <tableStyleElement type="secondRowStripe" dxfId="500"/>
    </tableStyle>
    <tableStyle name="FINAL 1.2 (Data Use for System)-style 73" pivot="0" count="2" xr9:uid="{00000000-0011-0000-FFFF-FFFFB9030000}">
      <tableStyleElement type="firstRowStripe" dxfId="499"/>
      <tableStyleElement type="secondRowStripe" dxfId="498"/>
    </tableStyle>
    <tableStyle name="FINAL 1.2 (Data Use for System)-style 74" pivot="0" count="2" xr9:uid="{00000000-0011-0000-FFFF-FFFFBA030000}">
      <tableStyleElement type="firstRowStripe" dxfId="497"/>
      <tableStyleElement type="secondRowStripe" dxfId="496"/>
    </tableStyle>
    <tableStyle name="FINAL 1.2 (Data Use for System)-style 75" pivot="0" count="2" xr9:uid="{00000000-0011-0000-FFFF-FFFFBB030000}">
      <tableStyleElement type="firstRowStripe" dxfId="495"/>
      <tableStyleElement type="secondRowStripe" dxfId="494"/>
    </tableStyle>
    <tableStyle name="FINAL 1.2 (Data Use for System)-style 76" pivot="0" count="2" xr9:uid="{00000000-0011-0000-FFFF-FFFFBC030000}">
      <tableStyleElement type="firstRowStripe" dxfId="493"/>
      <tableStyleElement type="secondRowStripe" dxfId="492"/>
    </tableStyle>
    <tableStyle name="FINAL 1.2 (Data Use for System)-style 77" pivot="0" count="2" xr9:uid="{00000000-0011-0000-FFFF-FFFFBD030000}">
      <tableStyleElement type="firstRowStripe" dxfId="491"/>
      <tableStyleElement type="secondRowStripe" dxfId="490"/>
    </tableStyle>
    <tableStyle name="FINAL 1.2 (Data Use for System)-style 78" pivot="0" count="2" xr9:uid="{00000000-0011-0000-FFFF-FFFFBE030000}">
      <tableStyleElement type="firstRowStripe" dxfId="489"/>
      <tableStyleElement type="secondRowStripe" dxfId="488"/>
    </tableStyle>
    <tableStyle name="FINAL 1.2 (Data Use for System)-style 79" pivot="0" count="2" xr9:uid="{00000000-0011-0000-FFFF-FFFFBF030000}">
      <tableStyleElement type="firstRowStripe" dxfId="487"/>
      <tableStyleElement type="secondRowStripe" dxfId="486"/>
    </tableStyle>
    <tableStyle name="FINAL 1.2 (Data Use for System)-style 80" pivot="0" count="2" xr9:uid="{00000000-0011-0000-FFFF-FFFFC0030000}">
      <tableStyleElement type="firstRowStripe" dxfId="485"/>
      <tableStyleElement type="secondRowStripe" dxfId="484"/>
    </tableStyle>
    <tableStyle name="FINAL 1.2 (Data Use for System)-style 81" pivot="0" count="2" xr9:uid="{00000000-0011-0000-FFFF-FFFFC1030000}">
      <tableStyleElement type="firstRowStripe" dxfId="483"/>
      <tableStyleElement type="secondRowStripe" dxfId="482"/>
    </tableStyle>
    <tableStyle name="FINAL 1.2 (Data Use for System)-style 82" pivot="0" count="2" xr9:uid="{00000000-0011-0000-FFFF-FFFFC2030000}">
      <tableStyleElement type="firstRowStripe" dxfId="481"/>
      <tableStyleElement type="secondRowStripe" dxfId="480"/>
    </tableStyle>
    <tableStyle name="FINAL 1.2 (Data Use for System)-style 83" pivot="0" count="2" xr9:uid="{00000000-0011-0000-FFFF-FFFFC3030000}">
      <tableStyleElement type="firstRowStripe" dxfId="479"/>
      <tableStyleElement type="secondRowStripe" dxfId="478"/>
    </tableStyle>
    <tableStyle name="FINAL 1.2 (Data Use for System)-style 84" pivot="0" count="2" xr9:uid="{00000000-0011-0000-FFFF-FFFFC4030000}">
      <tableStyleElement type="firstRowStripe" dxfId="477"/>
      <tableStyleElement type="secondRowStripe" dxfId="476"/>
    </tableStyle>
    <tableStyle name="FINAL 1.2 (Data Use for System)-style 85" pivot="0" count="2" xr9:uid="{00000000-0011-0000-FFFF-FFFFC5030000}">
      <tableStyleElement type="firstRowStripe" dxfId="475"/>
      <tableStyleElement type="secondRowStripe" dxfId="474"/>
    </tableStyle>
    <tableStyle name="FINAL 1.2 (Data Use for System)-style 86" pivot="0" count="2" xr9:uid="{00000000-0011-0000-FFFF-FFFFC6030000}">
      <tableStyleElement type="firstRowStripe" dxfId="473"/>
      <tableStyleElement type="secondRowStripe" dxfId="472"/>
    </tableStyle>
    <tableStyle name="FINAL 1.2 (Data Use for System)-style 87" pivot="0" count="2" xr9:uid="{00000000-0011-0000-FFFF-FFFFC7030000}">
      <tableStyleElement type="firstRowStripe" dxfId="471"/>
      <tableStyleElement type="secondRowStripe" dxfId="470"/>
    </tableStyle>
    <tableStyle name="FINAL 1.2 (Data Use for System)-style 88" pivot="0" count="2" xr9:uid="{00000000-0011-0000-FFFF-FFFFC8030000}">
      <tableStyleElement type="firstRowStripe" dxfId="469"/>
      <tableStyleElement type="secondRowStripe" dxfId="468"/>
    </tableStyle>
    <tableStyle name="FINAL 1.2 (Data Use for System)-style 89" pivot="0" count="2" xr9:uid="{00000000-0011-0000-FFFF-FFFFC9030000}">
      <tableStyleElement type="firstRowStripe" dxfId="467"/>
      <tableStyleElement type="secondRowStripe" dxfId="466"/>
    </tableStyle>
    <tableStyle name="FINAL 1.2 (Data Use for System)-style 90" pivot="0" count="2" xr9:uid="{00000000-0011-0000-FFFF-FFFFCA030000}">
      <tableStyleElement type="firstRowStripe" dxfId="465"/>
      <tableStyleElement type="secondRowStripe" dxfId="464"/>
    </tableStyle>
    <tableStyle name="FINAL 1.2 (Data Use for System)-style 91" pivot="0" count="2" xr9:uid="{00000000-0011-0000-FFFF-FFFFCB030000}">
      <tableStyleElement type="firstRowStripe" dxfId="463"/>
      <tableStyleElement type="secondRowStripe" dxfId="462"/>
    </tableStyle>
    <tableStyle name="FINAL 1.2 (Data Use for System)-style 92" pivot="0" count="2" xr9:uid="{00000000-0011-0000-FFFF-FFFFCC030000}">
      <tableStyleElement type="firstRowStripe" dxfId="461"/>
      <tableStyleElement type="secondRowStripe" dxfId="460"/>
    </tableStyle>
    <tableStyle name="FINAL 1.2 (Data Use for System)-style 93" pivot="0" count="2" xr9:uid="{00000000-0011-0000-FFFF-FFFFCD030000}">
      <tableStyleElement type="firstRowStripe" dxfId="459"/>
      <tableStyleElement type="secondRowStripe" dxfId="458"/>
    </tableStyle>
    <tableStyle name="FINAL 1.2 (Data Use for System)-style 94" pivot="0" count="2" xr9:uid="{00000000-0011-0000-FFFF-FFFFCE030000}">
      <tableStyleElement type="firstRowStripe" dxfId="457"/>
      <tableStyleElement type="secondRowStripe" dxfId="456"/>
    </tableStyle>
    <tableStyle name="FINAL 1.2 (Data Use for System)-style 95" pivot="0" count="2" xr9:uid="{00000000-0011-0000-FFFF-FFFFCF030000}">
      <tableStyleElement type="firstRowStripe" dxfId="455"/>
      <tableStyleElement type="secondRowStripe" dxfId="454"/>
    </tableStyle>
    <tableStyle name="FINAL 1.2 (Data Use for System)-style 96" pivot="0" count="2" xr9:uid="{00000000-0011-0000-FFFF-FFFFD0030000}">
      <tableStyleElement type="firstRowStripe" dxfId="453"/>
      <tableStyleElement type="secondRowStripe" dxfId="452"/>
    </tableStyle>
    <tableStyle name="FINAL 1.2 (Data Use for System)-style 97" pivot="0" count="2" xr9:uid="{00000000-0011-0000-FFFF-FFFFD1030000}">
      <tableStyleElement type="firstRowStripe" dxfId="451"/>
      <tableStyleElement type="secondRowStripe" dxfId="450"/>
    </tableStyle>
    <tableStyle name="FINAL 1.2 (Data Use for System)-style 98" pivot="0" count="2" xr9:uid="{00000000-0011-0000-FFFF-FFFFD2030000}">
      <tableStyleElement type="firstRowStripe" dxfId="449"/>
      <tableStyleElement type="secondRowStripe" dxfId="448"/>
    </tableStyle>
    <tableStyle name="FINAL 1.2 (Data Use for System)-style 99" pivot="0" count="2" xr9:uid="{00000000-0011-0000-FFFF-FFFFD3030000}">
      <tableStyleElement type="firstRowStripe" dxfId="447"/>
      <tableStyleElement type="secondRowStripe" dxfId="446"/>
    </tableStyle>
    <tableStyle name="FINAL 1.2 (Data Use for System)-style 100" pivot="0" count="2" xr9:uid="{00000000-0011-0000-FFFF-FFFFD4030000}">
      <tableStyleElement type="firstRowStripe" dxfId="445"/>
      <tableStyleElement type="secondRowStripe" dxfId="444"/>
    </tableStyle>
    <tableStyle name="FINAL 1.2 (Data Use for System)-style 101" pivot="0" count="2" xr9:uid="{00000000-0011-0000-FFFF-FFFFD5030000}">
      <tableStyleElement type="firstRowStripe" dxfId="443"/>
      <tableStyleElement type="secondRowStripe" dxfId="442"/>
    </tableStyle>
    <tableStyle name="FINAL 1.2 (Data Use for System)-style 102" pivot="0" count="2" xr9:uid="{00000000-0011-0000-FFFF-FFFFD6030000}">
      <tableStyleElement type="firstRowStripe" dxfId="441"/>
      <tableStyleElement type="secondRowStripe" dxfId="440"/>
    </tableStyle>
    <tableStyle name="FINAL 1.2 (Data Use for System)-style 103" pivot="0" count="2" xr9:uid="{00000000-0011-0000-FFFF-FFFFD7030000}">
      <tableStyleElement type="firstRowStripe" dxfId="439"/>
      <tableStyleElement type="secondRowStripe" dxfId="438"/>
    </tableStyle>
    <tableStyle name="FINAL 1.2 (Data Use for System)-style 104" pivot="0" count="2" xr9:uid="{00000000-0011-0000-FFFF-FFFFD8030000}">
      <tableStyleElement type="firstRowStripe" dxfId="437"/>
      <tableStyleElement type="secondRowStripe" dxfId="436"/>
    </tableStyle>
    <tableStyle name="FINAL 1.2 (Data Use for System)-style 105" pivot="0" count="2" xr9:uid="{00000000-0011-0000-FFFF-FFFFD9030000}">
      <tableStyleElement type="firstRowStripe" dxfId="435"/>
      <tableStyleElement type="secondRowStripe" dxfId="434"/>
    </tableStyle>
    <tableStyle name="FINAL 1.2 (Data Use for System)-style 106" pivot="0" count="2" xr9:uid="{00000000-0011-0000-FFFF-FFFFDA030000}">
      <tableStyleElement type="firstRowStripe" dxfId="433"/>
      <tableStyleElement type="secondRowStripe" dxfId="432"/>
    </tableStyle>
    <tableStyle name="FINAL 1.2 (Data Use for System)-style 107" pivot="0" count="2" xr9:uid="{00000000-0011-0000-FFFF-FFFFDB030000}">
      <tableStyleElement type="firstRowStripe" dxfId="431"/>
      <tableStyleElement type="secondRowStripe" dxfId="430"/>
    </tableStyle>
    <tableStyle name="FINAL 1.2 (Data Use for System)-style 108" pivot="0" count="2" xr9:uid="{00000000-0011-0000-FFFF-FFFFDC030000}">
      <tableStyleElement type="firstRowStripe" dxfId="429"/>
      <tableStyleElement type="secondRowStripe" dxfId="428"/>
    </tableStyle>
    <tableStyle name="FINAL 1.2 (Data Use for System)-style 109" pivot="0" count="2" xr9:uid="{00000000-0011-0000-FFFF-FFFFDD030000}">
      <tableStyleElement type="firstRowStripe" dxfId="427"/>
      <tableStyleElement type="secondRowStripe" dxfId="426"/>
    </tableStyle>
    <tableStyle name="FINAL 1.2 (Data Use for System)-style 110" pivot="0" count="2" xr9:uid="{00000000-0011-0000-FFFF-FFFFDE030000}">
      <tableStyleElement type="firstRowStripe" dxfId="425"/>
      <tableStyleElement type="secondRowStripe" dxfId="424"/>
    </tableStyle>
    <tableStyle name="FINAL 1.2 (Data Use for System)-style 111" pivot="0" count="2" xr9:uid="{00000000-0011-0000-FFFF-FFFFDF030000}">
      <tableStyleElement type="firstRowStripe" dxfId="423"/>
      <tableStyleElement type="secondRowStripe" dxfId="422"/>
    </tableStyle>
    <tableStyle name="FINAL 1.2 (Data Use for System)-style 112" pivot="0" count="2" xr9:uid="{00000000-0011-0000-FFFF-FFFFE0030000}">
      <tableStyleElement type="firstRowStripe" dxfId="421"/>
      <tableStyleElement type="secondRowStripe" dxfId="420"/>
    </tableStyle>
    <tableStyle name="FINAL 1.2 (Data Use for System)-style 113" pivot="0" count="2" xr9:uid="{00000000-0011-0000-FFFF-FFFFE1030000}">
      <tableStyleElement type="firstRowStripe" dxfId="419"/>
      <tableStyleElement type="secondRowStripe" dxfId="418"/>
    </tableStyle>
    <tableStyle name="FINAL 1.2 (Data Use for System)-style 114" pivot="0" count="2" xr9:uid="{00000000-0011-0000-FFFF-FFFFE2030000}">
      <tableStyleElement type="firstRowStripe" dxfId="417"/>
      <tableStyleElement type="secondRowStripe" dxfId="416"/>
    </tableStyle>
    <tableStyle name="FINAL 1.2 (Data Use for System)-style 115" pivot="0" count="2" xr9:uid="{00000000-0011-0000-FFFF-FFFFE3030000}">
      <tableStyleElement type="firstRowStripe" dxfId="415"/>
      <tableStyleElement type="secondRowStripe" dxfId="414"/>
    </tableStyle>
    <tableStyle name="FINAL 1.2 (Data Use for System)-style 116" pivot="0" count="2" xr9:uid="{00000000-0011-0000-FFFF-FFFFE4030000}">
      <tableStyleElement type="firstRowStripe" dxfId="413"/>
      <tableStyleElement type="secondRowStripe" dxfId="412"/>
    </tableStyle>
    <tableStyle name="FINAL 1.2 (Data Use for System)-style 117" pivot="0" count="2" xr9:uid="{00000000-0011-0000-FFFF-FFFFE5030000}">
      <tableStyleElement type="firstRowStripe" dxfId="411"/>
      <tableStyleElement type="secondRowStripe" dxfId="410"/>
    </tableStyle>
    <tableStyle name="FINAL 1.2 (Data Use for System)-style 118" pivot="0" count="2" xr9:uid="{00000000-0011-0000-FFFF-FFFFE6030000}">
      <tableStyleElement type="firstRowStripe" dxfId="409"/>
      <tableStyleElement type="secondRowStripe" dxfId="408"/>
    </tableStyle>
    <tableStyle name="FINAL 1.2 (Data Use for System)-style 119" pivot="0" count="2" xr9:uid="{00000000-0011-0000-FFFF-FFFFE7030000}">
      <tableStyleElement type="firstRowStripe" dxfId="407"/>
      <tableStyleElement type="secondRowStripe" dxfId="406"/>
    </tableStyle>
    <tableStyle name="FINAL 1.2 (Data Use for System)-style 120" pivot="0" count="2" xr9:uid="{00000000-0011-0000-FFFF-FFFFE8030000}">
      <tableStyleElement type="firstRowStripe" dxfId="405"/>
      <tableStyleElement type="secondRowStripe" dxfId="404"/>
    </tableStyle>
    <tableStyle name="FINAL 1.2 (Data Use for System)-style 121" pivot="0" count="2" xr9:uid="{00000000-0011-0000-FFFF-FFFFE9030000}">
      <tableStyleElement type="firstRowStripe" dxfId="403"/>
      <tableStyleElement type="secondRowStripe" dxfId="402"/>
    </tableStyle>
    <tableStyle name="FINAL 1.2 (Data Use for System)-style 122" pivot="0" count="2" xr9:uid="{00000000-0011-0000-FFFF-FFFFEA030000}">
      <tableStyleElement type="firstRowStripe" dxfId="401"/>
      <tableStyleElement type="secondRowStripe" dxfId="400"/>
    </tableStyle>
    <tableStyle name="FINAL 1.2 (Data Use for System)-style 123" pivot="0" count="2" xr9:uid="{00000000-0011-0000-FFFF-FFFFEB030000}">
      <tableStyleElement type="firstRowStripe" dxfId="399"/>
      <tableStyleElement type="secondRowStripe" dxfId="398"/>
    </tableStyle>
    <tableStyle name="FINAL 1.2 (Data Use for System)-style 124" pivot="0" count="2" xr9:uid="{00000000-0011-0000-FFFF-FFFFEC030000}">
      <tableStyleElement type="firstRowStripe" dxfId="397"/>
      <tableStyleElement type="secondRowStripe" dxfId="396"/>
    </tableStyle>
    <tableStyle name="FINAL 1.2 (Data Use for System)-style 125" pivot="0" count="2" xr9:uid="{00000000-0011-0000-FFFF-FFFFED030000}">
      <tableStyleElement type="firstRowStripe" dxfId="395"/>
      <tableStyleElement type="secondRowStripe" dxfId="394"/>
    </tableStyle>
    <tableStyle name="FINAL 1.2 (Data Use for System)-style 126" pivot="0" count="2" xr9:uid="{00000000-0011-0000-FFFF-FFFFEE030000}">
      <tableStyleElement type="firstRowStripe" dxfId="393"/>
      <tableStyleElement type="secondRowStripe" dxfId="392"/>
    </tableStyle>
    <tableStyle name="FINAL 1.2 (Data Use for System)-style 127" pivot="0" count="2" xr9:uid="{00000000-0011-0000-FFFF-FFFFEF030000}">
      <tableStyleElement type="firstRowStripe" dxfId="391"/>
      <tableStyleElement type="secondRowStripe" dxfId="390"/>
    </tableStyle>
    <tableStyle name="FINAL 1.2 (Data Use for System)-style 128" pivot="0" count="2" xr9:uid="{00000000-0011-0000-FFFF-FFFFF0030000}">
      <tableStyleElement type="firstRowStripe" dxfId="389"/>
      <tableStyleElement type="secondRowStripe" dxfId="388"/>
    </tableStyle>
    <tableStyle name="FINAL 1.2 (Data Use for System)-style 129" pivot="0" count="2" xr9:uid="{00000000-0011-0000-FFFF-FFFFF1030000}">
      <tableStyleElement type="firstRowStripe" dxfId="387"/>
      <tableStyleElement type="secondRowStripe" dxfId="386"/>
    </tableStyle>
    <tableStyle name="FINAL 1.2 (Data Use for System)-style 130" pivot="0" count="2" xr9:uid="{00000000-0011-0000-FFFF-FFFFF2030000}">
      <tableStyleElement type="firstRowStripe" dxfId="385"/>
      <tableStyleElement type="secondRowStripe" dxfId="384"/>
    </tableStyle>
    <tableStyle name="FINAL 1.2 (Data Use for System)-style 131" pivot="0" count="2" xr9:uid="{00000000-0011-0000-FFFF-FFFFF3030000}">
      <tableStyleElement type="firstRowStripe" dxfId="383"/>
      <tableStyleElement type="secondRowStripe" dxfId="382"/>
    </tableStyle>
    <tableStyle name="FINAL 1.2 (Data Use for System)-style 132" pivot="0" count="2" xr9:uid="{00000000-0011-0000-FFFF-FFFFF4030000}">
      <tableStyleElement type="firstRowStripe" dxfId="381"/>
      <tableStyleElement type="secondRowStripe" dxfId="380"/>
    </tableStyle>
    <tableStyle name="FINAL 1.2 (Data Use for System)-style 133" pivot="0" count="2" xr9:uid="{00000000-0011-0000-FFFF-FFFFF5030000}">
      <tableStyleElement type="firstRowStripe" dxfId="379"/>
      <tableStyleElement type="secondRowStripe" dxfId="378"/>
    </tableStyle>
    <tableStyle name="FINAL 1.2 (Data Use for System)-style 134" pivot="0" count="2" xr9:uid="{00000000-0011-0000-FFFF-FFFFF6030000}">
      <tableStyleElement type="firstRowStripe" dxfId="377"/>
      <tableStyleElement type="secondRowStripe" dxfId="376"/>
    </tableStyle>
    <tableStyle name="FINAL 1.2 (Data Use for System)-style 135" pivot="0" count="2" xr9:uid="{00000000-0011-0000-FFFF-FFFFF7030000}">
      <tableStyleElement type="firstRowStripe" dxfId="375"/>
      <tableStyleElement type="secondRowStripe" dxfId="374"/>
    </tableStyle>
    <tableStyle name="FINAL 1.2 (Data Use for System)-style 136" pivot="0" count="2" xr9:uid="{00000000-0011-0000-FFFF-FFFFF8030000}">
      <tableStyleElement type="firstRowStripe" dxfId="373"/>
      <tableStyleElement type="secondRowStripe" dxfId="372"/>
    </tableStyle>
    <tableStyle name="FINAL 1.2 (Data Use for System)-style 137" pivot="0" count="2" xr9:uid="{00000000-0011-0000-FFFF-FFFFF9030000}">
      <tableStyleElement type="firstRowStripe" dxfId="371"/>
      <tableStyleElement type="secondRowStripe" dxfId="370"/>
    </tableStyle>
    <tableStyle name="FINAL 1.2 (Data Use for System)-style 138" pivot="0" count="2" xr9:uid="{00000000-0011-0000-FFFF-FFFFFA030000}">
      <tableStyleElement type="firstRowStripe" dxfId="369"/>
      <tableStyleElement type="secondRowStripe" dxfId="368"/>
    </tableStyle>
    <tableStyle name="FINAL 1.2 (Data Use for System)-style 139" pivot="0" count="2" xr9:uid="{00000000-0011-0000-FFFF-FFFFFB030000}">
      <tableStyleElement type="firstRowStripe" dxfId="367"/>
      <tableStyleElement type="secondRowStripe" dxfId="366"/>
    </tableStyle>
    <tableStyle name="FINAL 1.2 (Data Use for System)-style 140" pivot="0" count="2" xr9:uid="{00000000-0011-0000-FFFF-FFFFFC030000}">
      <tableStyleElement type="firstRowStripe" dxfId="365"/>
      <tableStyleElement type="secondRowStripe" dxfId="364"/>
    </tableStyle>
    <tableStyle name="FINAL 1.2 (Data Use for System)-style 141" pivot="0" count="2" xr9:uid="{00000000-0011-0000-FFFF-FFFFFD030000}">
      <tableStyleElement type="firstRowStripe" dxfId="363"/>
      <tableStyleElement type="secondRowStripe" dxfId="362"/>
    </tableStyle>
    <tableStyle name="FINAL 1.2 (Data Use for System)-style 142" pivot="0" count="2" xr9:uid="{00000000-0011-0000-FFFF-FFFFFE030000}">
      <tableStyleElement type="firstRowStripe" dxfId="361"/>
      <tableStyleElement type="secondRowStripe" dxfId="360"/>
    </tableStyle>
    <tableStyle name="FINAL 1.2 (Data Use for System)-style 143" pivot="0" count="2" xr9:uid="{00000000-0011-0000-FFFF-FFFFFF030000}">
      <tableStyleElement type="firstRowStripe" dxfId="359"/>
      <tableStyleElement type="secondRowStripe" dxfId="358"/>
    </tableStyle>
    <tableStyle name="FINAL 1.2 (Data Use for System)-style 144" pivot="0" count="2" xr9:uid="{00000000-0011-0000-FFFF-FFFF00040000}">
      <tableStyleElement type="firstRowStripe" dxfId="357"/>
      <tableStyleElement type="secondRowStripe" dxfId="356"/>
    </tableStyle>
    <tableStyle name="FINAL 1.2 (Data Use for System)-style 145" pivot="0" count="2" xr9:uid="{00000000-0011-0000-FFFF-FFFF01040000}">
      <tableStyleElement type="firstRowStripe" dxfId="355"/>
      <tableStyleElement type="secondRowStripe" dxfId="354"/>
    </tableStyle>
    <tableStyle name="FINAL 1.2 (Data Use for System)-style 146" pivot="0" count="2" xr9:uid="{00000000-0011-0000-FFFF-FFFF02040000}">
      <tableStyleElement type="firstRowStripe" dxfId="353"/>
      <tableStyleElement type="secondRowStripe" dxfId="352"/>
    </tableStyle>
    <tableStyle name="FINAL 1.2 (Data Use for System)-style 147" pivot="0" count="2" xr9:uid="{00000000-0011-0000-FFFF-FFFF03040000}">
      <tableStyleElement type="firstRowStripe" dxfId="351"/>
      <tableStyleElement type="secondRowStripe" dxfId="350"/>
    </tableStyle>
    <tableStyle name="2022-2025-style" pivot="0" count="2" xr9:uid="{00000000-0011-0000-FFFF-FFFF04040000}">
      <tableStyleElement type="firstRowStripe" dxfId="349"/>
      <tableStyleElement type="secondRowStripe" dxfId="348"/>
    </tableStyle>
    <tableStyle name="2022-2025-style 2" pivot="0" count="2" xr9:uid="{00000000-0011-0000-FFFF-FFFF05040000}">
      <tableStyleElement type="firstRowStripe" dxfId="347"/>
      <tableStyleElement type="secondRowStripe" dxfId="346"/>
    </tableStyle>
    <tableStyle name="2022-2025-style 3" pivot="0" count="2" xr9:uid="{00000000-0011-0000-FFFF-FFFF06040000}">
      <tableStyleElement type="firstRowStripe" dxfId="345"/>
      <tableStyleElement type="secondRowStripe" dxfId="344"/>
    </tableStyle>
    <tableStyle name="2022-2025-style 4" pivot="0" count="2" xr9:uid="{00000000-0011-0000-FFFF-FFFF07040000}">
      <tableStyleElement type="firstRowStripe" dxfId="343"/>
      <tableStyleElement type="secondRowStripe" dxfId="342"/>
    </tableStyle>
    <tableStyle name="2022-2025-style 5" pivot="0" count="2" xr9:uid="{00000000-0011-0000-FFFF-FFFF08040000}">
      <tableStyleElement type="firstRowStripe" dxfId="341"/>
      <tableStyleElement type="secondRowStripe" dxfId="340"/>
    </tableStyle>
    <tableStyle name="2022-2025-style 6" pivot="0" count="2" xr9:uid="{00000000-0011-0000-FFFF-FFFF09040000}">
      <tableStyleElement type="firstRowStripe" dxfId="339"/>
      <tableStyleElement type="secondRowStripe" dxfId="338"/>
    </tableStyle>
    <tableStyle name="2022-2025-style 7" pivot="0" count="2" xr9:uid="{00000000-0011-0000-FFFF-FFFF0A040000}">
      <tableStyleElement type="firstRowStripe" dxfId="337"/>
      <tableStyleElement type="secondRowStripe" dxfId="336"/>
    </tableStyle>
    <tableStyle name="2022-2025-style 8" pivot="0" count="2" xr9:uid="{00000000-0011-0000-FFFF-FFFF0B040000}">
      <tableStyleElement type="firstRowStripe" dxfId="335"/>
      <tableStyleElement type="secondRowStripe" dxfId="334"/>
    </tableStyle>
    <tableStyle name="2022-2025-style 9" pivot="0" count="2" xr9:uid="{00000000-0011-0000-FFFF-FFFF0C040000}">
      <tableStyleElement type="firstRowStripe" dxfId="333"/>
      <tableStyleElement type="secondRowStripe" dxfId="332"/>
    </tableStyle>
    <tableStyle name="2022-2025-style 10" pivot="0" count="2" xr9:uid="{00000000-0011-0000-FFFF-FFFF0D040000}">
      <tableStyleElement type="firstRowStripe" dxfId="331"/>
      <tableStyleElement type="secondRowStripe" dxfId="330"/>
    </tableStyle>
    <tableStyle name="2022-2025-style 11" pivot="0" count="2" xr9:uid="{00000000-0011-0000-FFFF-FFFF0E040000}">
      <tableStyleElement type="firstRowStripe" dxfId="329"/>
      <tableStyleElement type="secondRowStripe" dxfId="328"/>
    </tableStyle>
    <tableStyle name="2022-2025-style 12" pivot="0" count="2" xr9:uid="{00000000-0011-0000-FFFF-FFFF0F040000}">
      <tableStyleElement type="firstRowStripe" dxfId="327"/>
      <tableStyleElement type="secondRowStripe" dxfId="326"/>
    </tableStyle>
    <tableStyle name="2022-2025-style 13" pivot="0" count="2" xr9:uid="{00000000-0011-0000-FFFF-FFFF10040000}">
      <tableStyleElement type="firstRowStripe" dxfId="325"/>
      <tableStyleElement type="secondRowStripe" dxfId="324"/>
    </tableStyle>
    <tableStyle name="2022-2025-style 14" pivot="0" count="2" xr9:uid="{00000000-0011-0000-FFFF-FFFF11040000}">
      <tableStyleElement type="firstRowStripe" dxfId="323"/>
      <tableStyleElement type="secondRowStripe" dxfId="322"/>
    </tableStyle>
    <tableStyle name="2022-2025-style 15" pivot="0" count="2" xr9:uid="{00000000-0011-0000-FFFF-FFFF12040000}">
      <tableStyleElement type="firstRowStripe" dxfId="321"/>
      <tableStyleElement type="secondRowStripe" dxfId="320"/>
    </tableStyle>
    <tableStyle name="2022-2025-style 16" pivot="0" count="2" xr9:uid="{00000000-0011-0000-FFFF-FFFF13040000}">
      <tableStyleElement type="firstRowStripe" dxfId="319"/>
      <tableStyleElement type="secondRowStripe" dxfId="318"/>
    </tableStyle>
    <tableStyle name="2022-2025-style 17" pivot="0" count="2" xr9:uid="{00000000-0011-0000-FFFF-FFFF14040000}">
      <tableStyleElement type="firstRowStripe" dxfId="317"/>
      <tableStyleElement type="secondRowStripe" dxfId="316"/>
    </tableStyle>
    <tableStyle name="2022-2025-style 18" pivot="0" count="2" xr9:uid="{00000000-0011-0000-FFFF-FFFF15040000}">
      <tableStyleElement type="firstRowStripe" dxfId="315"/>
      <tableStyleElement type="secondRowStripe" dxfId="314"/>
    </tableStyle>
    <tableStyle name="2022-2025-style 19" pivot="0" count="2" xr9:uid="{00000000-0011-0000-FFFF-FFFF16040000}">
      <tableStyleElement type="firstRowStripe" dxfId="313"/>
      <tableStyleElement type="secondRowStripe" dxfId="312"/>
    </tableStyle>
    <tableStyle name="2022-2025-style 20" pivot="0" count="2" xr9:uid="{00000000-0011-0000-FFFF-FFFF17040000}">
      <tableStyleElement type="firstRowStripe" dxfId="311"/>
      <tableStyleElement type="secondRowStripe" dxfId="310"/>
    </tableStyle>
    <tableStyle name="2022-2025-style 21" pivot="0" count="2" xr9:uid="{00000000-0011-0000-FFFF-FFFF18040000}">
      <tableStyleElement type="firstRowStripe" dxfId="309"/>
      <tableStyleElement type="secondRowStripe" dxfId="308"/>
    </tableStyle>
    <tableStyle name="2022-2025-style 22" pivot="0" count="2" xr9:uid="{00000000-0011-0000-FFFF-FFFF19040000}">
      <tableStyleElement type="firstRowStripe" dxfId="307"/>
      <tableStyleElement type="secondRowStripe" dxfId="306"/>
    </tableStyle>
    <tableStyle name="2022-2025-style 23" pivot="0" count="2" xr9:uid="{00000000-0011-0000-FFFF-FFFF1A040000}">
      <tableStyleElement type="firstRowStripe" dxfId="305"/>
      <tableStyleElement type="secondRowStripe" dxfId="304"/>
    </tableStyle>
    <tableStyle name="2022-2025-style 24" pivot="0" count="2" xr9:uid="{00000000-0011-0000-FFFF-FFFF1B040000}">
      <tableStyleElement type="firstRowStripe" dxfId="303"/>
      <tableStyleElement type="secondRowStripe" dxfId="302"/>
    </tableStyle>
    <tableStyle name="2022-2025-style 25" pivot="0" count="2" xr9:uid="{00000000-0011-0000-FFFF-FFFF1C040000}">
      <tableStyleElement type="firstRowStripe" dxfId="301"/>
      <tableStyleElement type="secondRowStripe" dxfId="300"/>
    </tableStyle>
    <tableStyle name="FINAL 1.3 (Data for testing)-style" pivot="0" count="4" xr9:uid="{00000000-0011-0000-FFFF-FFFF1D04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FINAL 1.3 (Data for testing)-style 2" pivot="0" count="2" xr9:uid="{00000000-0011-0000-FFFF-FFFF1E040000}">
      <tableStyleElement type="firstRowStripe" dxfId="295"/>
      <tableStyleElement type="secondRowStripe" dxfId="294"/>
    </tableStyle>
    <tableStyle name="FINAL 1.3 (Data for testing)-style 3" pivot="0" count="2" xr9:uid="{00000000-0011-0000-FFFF-FFFF1F040000}">
      <tableStyleElement type="firstRowStripe" dxfId="293"/>
      <tableStyleElement type="secondRowStripe" dxfId="292"/>
    </tableStyle>
    <tableStyle name="FINAL 1.3 (Data for testing)-style 4" pivot="0" count="2" xr9:uid="{00000000-0011-0000-FFFF-FFFF20040000}">
      <tableStyleElement type="firstRowStripe" dxfId="291"/>
      <tableStyleElement type="secondRowStripe" dxfId="290"/>
    </tableStyle>
    <tableStyle name="FINAL 1.3 (Data for testing)-style 5" pivot="0" count="2" xr9:uid="{00000000-0011-0000-FFFF-FFFF21040000}">
      <tableStyleElement type="firstRowStripe" dxfId="289"/>
      <tableStyleElement type="secondRowStripe" dxfId="288"/>
    </tableStyle>
    <tableStyle name="FINAL 1.3 (Data for testing)-style 6" pivot="0" count="2" xr9:uid="{00000000-0011-0000-FFFF-FFFF22040000}">
      <tableStyleElement type="firstRowStripe" dxfId="287"/>
      <tableStyleElement type="secondRowStripe" dxfId="286"/>
    </tableStyle>
    <tableStyle name="FINAL 1.3 (Data for testing)-style 7" pivot="0" count="2" xr9:uid="{00000000-0011-0000-FFFF-FFFF23040000}">
      <tableStyleElement type="firstRowStripe" dxfId="285"/>
      <tableStyleElement type="secondRowStripe" dxfId="284"/>
    </tableStyle>
    <tableStyle name="FINAL 1.3 (Data for testing)-style 8" pivot="0" count="2" xr9:uid="{00000000-0011-0000-FFFF-FFFF24040000}">
      <tableStyleElement type="firstRowStripe" dxfId="283"/>
      <tableStyleElement type="secondRowStripe" dxfId="282"/>
    </tableStyle>
    <tableStyle name="FINAL 1.3 (Data for testing)-style 9" pivot="0" count="2" xr9:uid="{00000000-0011-0000-FFFF-FFFF25040000}">
      <tableStyleElement type="firstRowStripe" dxfId="281"/>
      <tableStyleElement type="secondRowStripe" dxfId="280"/>
    </tableStyle>
    <tableStyle name="FINAL 1.3 (Data for testing)-style 10" pivot="0" count="2" xr9:uid="{00000000-0011-0000-FFFF-FFFF26040000}">
      <tableStyleElement type="firstRowStripe" dxfId="279"/>
      <tableStyleElement type="secondRowStripe" dxfId="278"/>
    </tableStyle>
    <tableStyle name="FINAL 1.3 (Data for testing)-style 11" pivot="0" count="2" xr9:uid="{00000000-0011-0000-FFFF-FFFF27040000}">
      <tableStyleElement type="firstRowStripe" dxfId="277"/>
      <tableStyleElement type="secondRowStripe" dxfId="276"/>
    </tableStyle>
    <tableStyle name="FINAL 1.3 (Data for testing)-style 12" pivot="0" count="2" xr9:uid="{00000000-0011-0000-FFFF-FFFF28040000}">
      <tableStyleElement type="firstRowStripe" dxfId="275"/>
      <tableStyleElement type="secondRowStripe" dxfId="274"/>
    </tableStyle>
    <tableStyle name="FINAL 1.3 (Data for testing)-style 13" pivot="0" count="2" xr9:uid="{00000000-0011-0000-FFFF-FFFF29040000}">
      <tableStyleElement type="firstRowStripe" dxfId="273"/>
      <tableStyleElement type="secondRowStripe" dxfId="272"/>
    </tableStyle>
    <tableStyle name="FINAL 1.3 (Data for testing)-style 14" pivot="0" count="2" xr9:uid="{00000000-0011-0000-FFFF-FFFF2A040000}">
      <tableStyleElement type="firstRowStripe" dxfId="271"/>
      <tableStyleElement type="secondRowStripe" dxfId="270"/>
    </tableStyle>
    <tableStyle name="FINAL 1.3 (Data for testing)-style 15" pivot="0" count="2" xr9:uid="{00000000-0011-0000-FFFF-FFFF2B040000}">
      <tableStyleElement type="firstRowStripe" dxfId="269"/>
      <tableStyleElement type="secondRowStripe" dxfId="268"/>
    </tableStyle>
    <tableStyle name="FINAL 1.3 (Data for testing)-style 16" pivot="0" count="2" xr9:uid="{00000000-0011-0000-FFFF-FFFF2C040000}">
      <tableStyleElement type="firstRowStripe" dxfId="267"/>
      <tableStyleElement type="secondRowStripe" dxfId="266"/>
    </tableStyle>
    <tableStyle name="FINAL 1.3 (Data for testing)-style 17" pivot="0" count="2" xr9:uid="{00000000-0011-0000-FFFF-FFFF2D040000}">
      <tableStyleElement type="firstRowStripe" dxfId="265"/>
      <tableStyleElement type="secondRowStripe" dxfId="264"/>
    </tableStyle>
    <tableStyle name="FINAL 1.3 (Data for testing)-style 18" pivot="0" count="2" xr9:uid="{00000000-0011-0000-FFFF-FFFF2E040000}">
      <tableStyleElement type="firstRowStripe" dxfId="263"/>
      <tableStyleElement type="secondRowStripe" dxfId="262"/>
    </tableStyle>
    <tableStyle name="FINAL 1.3 (Data for testing)-style 19" pivot="0" count="2" xr9:uid="{00000000-0011-0000-FFFF-FFFF2F040000}">
      <tableStyleElement type="firstRowStripe" dxfId="261"/>
      <tableStyleElement type="secondRowStripe" dxfId="260"/>
    </tableStyle>
    <tableStyle name="FINAL 1.3 (Data for testing)-style 20" pivot="0" count="2" xr9:uid="{00000000-0011-0000-FFFF-FFFF30040000}">
      <tableStyleElement type="firstRowStripe" dxfId="259"/>
      <tableStyleElement type="secondRowStripe" dxfId="258"/>
    </tableStyle>
    <tableStyle name="FINAL 1.3 (Data for testing)-style 21" pivot="0" count="2" xr9:uid="{00000000-0011-0000-FFFF-FFFF31040000}">
      <tableStyleElement type="firstRowStripe" dxfId="257"/>
      <tableStyleElement type="secondRowStripe" dxfId="256"/>
    </tableStyle>
    <tableStyle name="FINAL 1.3 (Data for testing)-style 22" pivot="0" count="2" xr9:uid="{00000000-0011-0000-FFFF-FFFF32040000}">
      <tableStyleElement type="firstRowStripe" dxfId="255"/>
      <tableStyleElement type="secondRowStripe" dxfId="254"/>
    </tableStyle>
    <tableStyle name="FINAL 1.3 (Data for testing)-style 23" pivot="0" count="2" xr9:uid="{00000000-0011-0000-FFFF-FFFF33040000}">
      <tableStyleElement type="firstRowStripe" dxfId="253"/>
      <tableStyleElement type="secondRowStripe" dxfId="252"/>
    </tableStyle>
    <tableStyle name="FINAL 1.3 (Data for testing)-style 24" pivot="0" count="2" xr9:uid="{00000000-0011-0000-FFFF-FFFF34040000}">
      <tableStyleElement type="firstRowStripe" dxfId="251"/>
      <tableStyleElement type="secondRowStripe" dxfId="250"/>
    </tableStyle>
    <tableStyle name="FINAL 1.3 (Data for testing)-style 25" pivot="0" count="2" xr9:uid="{00000000-0011-0000-FFFF-FFFF35040000}">
      <tableStyleElement type="firstRowStripe" dxfId="249"/>
      <tableStyleElement type="secondRowStripe" dxfId="248"/>
    </tableStyle>
    <tableStyle name="FINAL 1.3 (Data for testing)-style 26" pivot="0" count="2" xr9:uid="{00000000-0011-0000-FFFF-FFFF36040000}">
      <tableStyleElement type="firstRowStripe" dxfId="247"/>
      <tableStyleElement type="secondRowStripe" dxfId="246"/>
    </tableStyle>
    <tableStyle name="FINAL 1.3 (Data for testing)-style 27" pivot="0" count="2" xr9:uid="{00000000-0011-0000-FFFF-FFFF37040000}">
      <tableStyleElement type="firstRowStripe" dxfId="245"/>
      <tableStyleElement type="secondRowStripe" dxfId="244"/>
    </tableStyle>
    <tableStyle name="FINAL 1.3 (Data for testing)-style 28" pivot="0" count="2" xr9:uid="{00000000-0011-0000-FFFF-FFFF38040000}">
      <tableStyleElement type="firstRowStripe" dxfId="243"/>
      <tableStyleElement type="secondRowStripe" dxfId="242"/>
    </tableStyle>
    <tableStyle name="FINAL 1.3 (Data for testing)-style 29" pivot="0" count="2" xr9:uid="{00000000-0011-0000-FFFF-FFFF39040000}">
      <tableStyleElement type="firstRowStripe" dxfId="241"/>
      <tableStyleElement type="secondRowStripe" dxfId="240"/>
    </tableStyle>
    <tableStyle name="FINAL 1.3 (Data for testing)-style 30" pivot="0" count="2" xr9:uid="{00000000-0011-0000-FFFF-FFFF3A040000}">
      <tableStyleElement type="firstRowStripe" dxfId="239"/>
      <tableStyleElement type="secondRowStripe" dxfId="238"/>
    </tableStyle>
    <tableStyle name="FINAL 1.3 (Data for testing)-style 31" pivot="0" count="2" xr9:uid="{00000000-0011-0000-FFFF-FFFF3B040000}">
      <tableStyleElement type="firstRowStripe" dxfId="237"/>
      <tableStyleElement type="secondRowStripe" dxfId="236"/>
    </tableStyle>
    <tableStyle name="FINAL 1.3 (Data for testing)-style 32" pivot="0" count="2" xr9:uid="{00000000-0011-0000-FFFF-FFFF3C040000}">
      <tableStyleElement type="firstRowStripe" dxfId="235"/>
      <tableStyleElement type="secondRowStripe" dxfId="234"/>
    </tableStyle>
    <tableStyle name="FINAL 1.3 (Data for testing)-style 33" pivot="0" count="2" xr9:uid="{00000000-0011-0000-FFFF-FFFF3D040000}">
      <tableStyleElement type="firstRowStripe" dxfId="233"/>
      <tableStyleElement type="secondRowStripe" dxfId="232"/>
    </tableStyle>
    <tableStyle name="FINAL 1.3 (Data for testing)-style 34" pivot="0" count="2" xr9:uid="{00000000-0011-0000-FFFF-FFFF3E040000}">
      <tableStyleElement type="firstRowStripe" dxfId="231"/>
      <tableStyleElement type="secondRowStripe" dxfId="230"/>
    </tableStyle>
    <tableStyle name="FINAL 1.3 (Data for testing)-style 35" pivot="0" count="2" xr9:uid="{00000000-0011-0000-FFFF-FFFF3F040000}">
      <tableStyleElement type="firstRowStripe" dxfId="229"/>
      <tableStyleElement type="secondRowStripe" dxfId="228"/>
    </tableStyle>
    <tableStyle name="FINAL 1.3 (Data for testing)-style 36" pivot="0" count="2" xr9:uid="{00000000-0011-0000-FFFF-FFFF40040000}">
      <tableStyleElement type="firstRowStripe" dxfId="227"/>
      <tableStyleElement type="secondRowStripe" dxfId="226"/>
    </tableStyle>
    <tableStyle name="FINAL 1.3 (Data for testing)-style 37" pivot="0" count="2" xr9:uid="{00000000-0011-0000-FFFF-FFFF41040000}">
      <tableStyleElement type="firstRowStripe" dxfId="225"/>
      <tableStyleElement type="secondRowStripe" dxfId="224"/>
    </tableStyle>
    <tableStyle name="FINAL 1.3 (Data for testing)-style 38" pivot="0" count="2" xr9:uid="{00000000-0011-0000-FFFF-FFFF42040000}">
      <tableStyleElement type="firstRowStripe" dxfId="223"/>
      <tableStyleElement type="secondRowStripe" dxfId="222"/>
    </tableStyle>
    <tableStyle name="FINAL 1.3 (Data for testing)-style 39" pivot="0" count="2" xr9:uid="{00000000-0011-0000-FFFF-FFFF43040000}">
      <tableStyleElement type="firstRowStripe" dxfId="221"/>
      <tableStyleElement type="secondRowStripe" dxfId="220"/>
    </tableStyle>
    <tableStyle name="FINAL 1.3 (Data for testing)-style 40" pivot="0" count="2" xr9:uid="{00000000-0011-0000-FFFF-FFFF44040000}">
      <tableStyleElement type="firstRowStripe" dxfId="219"/>
      <tableStyleElement type="secondRowStripe" dxfId="218"/>
    </tableStyle>
    <tableStyle name="FINAL 1.3 (Data for testing)-style 41" pivot="0" count="2" xr9:uid="{00000000-0011-0000-FFFF-FFFF45040000}">
      <tableStyleElement type="firstRowStripe" dxfId="217"/>
      <tableStyleElement type="secondRowStripe" dxfId="216"/>
    </tableStyle>
    <tableStyle name="FINAL 1.3 (Data for testing)-style 42" pivot="0" count="2" xr9:uid="{00000000-0011-0000-FFFF-FFFF46040000}">
      <tableStyleElement type="firstRowStripe" dxfId="215"/>
      <tableStyleElement type="secondRowStripe" dxfId="214"/>
    </tableStyle>
    <tableStyle name="FINAL 1.3 (Data for testing)-style 43" pivot="0" count="2" xr9:uid="{00000000-0011-0000-FFFF-FFFF47040000}">
      <tableStyleElement type="firstRowStripe" dxfId="213"/>
      <tableStyleElement type="secondRowStripe" dxfId="212"/>
    </tableStyle>
    <tableStyle name="FINAL 1.3 (Data for testing)-style 44" pivot="0" count="2" xr9:uid="{00000000-0011-0000-FFFF-FFFF48040000}">
      <tableStyleElement type="firstRowStripe" dxfId="211"/>
      <tableStyleElement type="secondRowStripe" dxfId="210"/>
    </tableStyle>
    <tableStyle name="FINAL 1.3 (Data for testing)-style 45" pivot="0" count="2" xr9:uid="{00000000-0011-0000-FFFF-FFFF49040000}">
      <tableStyleElement type="firstRowStripe" dxfId="209"/>
      <tableStyleElement type="secondRowStripe" dxfId="208"/>
    </tableStyle>
    <tableStyle name="FINAL 1.3 (Data for testing)-style 46" pivot="0" count="2" xr9:uid="{00000000-0011-0000-FFFF-FFFF4A040000}">
      <tableStyleElement type="firstRowStripe" dxfId="207"/>
      <tableStyleElement type="secondRowStripe" dxfId="206"/>
    </tableStyle>
    <tableStyle name="FINAL 1.3 (Data for testing)-style 47" pivot="0" count="2" xr9:uid="{00000000-0011-0000-FFFF-FFFF4B040000}">
      <tableStyleElement type="firstRowStripe" dxfId="205"/>
      <tableStyleElement type="secondRowStripe" dxfId="204"/>
    </tableStyle>
    <tableStyle name="FINAL 1.3 (Data for testing)-style 48" pivot="0" count="2" xr9:uid="{00000000-0011-0000-FFFF-FFFF4C040000}">
      <tableStyleElement type="firstRowStripe" dxfId="203"/>
      <tableStyleElement type="secondRowStripe" dxfId="202"/>
    </tableStyle>
    <tableStyle name="FINAL 1.3 (Data for testing)-style 49" pivot="0" count="2" xr9:uid="{00000000-0011-0000-FFFF-FFFF4D040000}">
      <tableStyleElement type="firstRowStripe" dxfId="201"/>
      <tableStyleElement type="secondRowStripe" dxfId="200"/>
    </tableStyle>
    <tableStyle name="FINAL 1.3 (Data for testing)-style 50" pivot="0" count="2" xr9:uid="{00000000-0011-0000-FFFF-FFFF4E040000}">
      <tableStyleElement type="firstRowStripe" dxfId="199"/>
      <tableStyleElement type="secondRowStripe" dxfId="198"/>
    </tableStyle>
    <tableStyle name="FINAL 1.3 (Data for testing)-style 51" pivot="0" count="2" xr9:uid="{00000000-0011-0000-FFFF-FFFF4F040000}">
      <tableStyleElement type="firstRowStripe" dxfId="197"/>
      <tableStyleElement type="secondRowStripe" dxfId="196"/>
    </tableStyle>
    <tableStyle name="FINAL 1.3 (Data for testing)-style 52" pivot="0" count="2" xr9:uid="{00000000-0011-0000-FFFF-FFFF50040000}">
      <tableStyleElement type="firstRowStripe" dxfId="195"/>
      <tableStyleElement type="secondRowStripe" dxfId="194"/>
    </tableStyle>
    <tableStyle name="FINAL 1.3 (Data for testing)-style 53" pivot="0" count="2" xr9:uid="{00000000-0011-0000-FFFF-FFFF51040000}">
      <tableStyleElement type="firstRowStripe" dxfId="193"/>
      <tableStyleElement type="secondRowStripe" dxfId="192"/>
    </tableStyle>
    <tableStyle name="FINAL 1.3 (Data for testing)-style 54" pivot="0" count="2" xr9:uid="{00000000-0011-0000-FFFF-FFFF52040000}">
      <tableStyleElement type="firstRowStripe" dxfId="191"/>
      <tableStyleElement type="secondRowStripe" dxfId="190"/>
    </tableStyle>
    <tableStyle name="FINAL 1.3 (Data for testing)-style 55" pivot="0" count="2" xr9:uid="{00000000-0011-0000-FFFF-FFFF53040000}">
      <tableStyleElement type="firstRowStripe" dxfId="189"/>
      <tableStyleElement type="secondRowStripe" dxfId="188"/>
    </tableStyle>
    <tableStyle name="FINAL 1.3 (Data for testing)-style 56" pivot="0" count="2" xr9:uid="{00000000-0011-0000-FFFF-FFFF54040000}">
      <tableStyleElement type="firstRowStripe" dxfId="187"/>
      <tableStyleElement type="secondRowStripe" dxfId="186"/>
    </tableStyle>
    <tableStyle name="FINAL 1.3 (Data for testing)-style 57" pivot="0" count="2" xr9:uid="{00000000-0011-0000-FFFF-FFFF55040000}">
      <tableStyleElement type="firstRowStripe" dxfId="185"/>
      <tableStyleElement type="secondRowStripe" dxfId="184"/>
    </tableStyle>
    <tableStyle name="FINAL 1.3 (Data for testing)-style 58" pivot="0" count="2" xr9:uid="{00000000-0011-0000-FFFF-FFFF56040000}">
      <tableStyleElement type="firstRowStripe" dxfId="183"/>
      <tableStyleElement type="secondRowStripe" dxfId="182"/>
    </tableStyle>
    <tableStyle name="FINAL 1.3 (Data for testing)-style 59" pivot="0" count="2" xr9:uid="{00000000-0011-0000-FFFF-FFFF57040000}">
      <tableStyleElement type="firstRowStripe" dxfId="181"/>
      <tableStyleElement type="secondRowStripe" dxfId="180"/>
    </tableStyle>
    <tableStyle name="FINAL 1.3 (Data for testing)-style 60" pivot="0" count="2" xr9:uid="{00000000-0011-0000-FFFF-FFFF58040000}">
      <tableStyleElement type="firstRowStripe" dxfId="179"/>
      <tableStyleElement type="secondRowStripe" dxfId="178"/>
    </tableStyle>
    <tableStyle name="FINAL 1.3 (Data for testing)-style 61" pivot="0" count="2" xr9:uid="{00000000-0011-0000-FFFF-FFFF59040000}">
      <tableStyleElement type="firstRowStripe" dxfId="177"/>
      <tableStyleElement type="secondRowStripe" dxfId="176"/>
    </tableStyle>
    <tableStyle name="FINAL 1.3 (Data for testing)-style 62" pivot="0" count="2" xr9:uid="{00000000-0011-0000-FFFF-FFFF5A040000}">
      <tableStyleElement type="firstRowStripe" dxfId="175"/>
      <tableStyleElement type="secondRowStripe" dxfId="174"/>
    </tableStyle>
    <tableStyle name="FINAL 1.3 (Data for testing)-style 63" pivot="0" count="2" xr9:uid="{00000000-0011-0000-FFFF-FFFF5B040000}">
      <tableStyleElement type="firstRowStripe" dxfId="173"/>
      <tableStyleElement type="secondRowStripe" dxfId="172"/>
    </tableStyle>
    <tableStyle name="FINAL 1.3 (Data for testing)-style 64" pivot="0" count="2" xr9:uid="{00000000-0011-0000-FFFF-FFFF5C040000}">
      <tableStyleElement type="firstRowStripe" dxfId="171"/>
      <tableStyleElement type="secondRowStripe" dxfId="170"/>
    </tableStyle>
    <tableStyle name="FINAL 1.3 (Data for testing)-style 65" pivot="0" count="2" xr9:uid="{00000000-0011-0000-FFFF-FFFF5D040000}">
      <tableStyleElement type="firstRowStripe" dxfId="169"/>
      <tableStyleElement type="secondRowStripe" dxfId="168"/>
    </tableStyle>
    <tableStyle name="FINAL 1.3 (Data for testing)-style 66" pivot="0" count="2" xr9:uid="{00000000-0011-0000-FFFF-FFFF5E040000}">
      <tableStyleElement type="firstRowStripe" dxfId="167"/>
      <tableStyleElement type="secondRowStripe" dxfId="166"/>
    </tableStyle>
    <tableStyle name="FINAL 1.3 (Data for testing)-style 67" pivot="0" count="2" xr9:uid="{00000000-0011-0000-FFFF-FFFF5F040000}">
      <tableStyleElement type="firstRowStripe" dxfId="165"/>
      <tableStyleElement type="secondRowStripe" dxfId="164"/>
    </tableStyle>
    <tableStyle name="FINAL 1.3 (Data for testing)-style 68" pivot="0" count="2" xr9:uid="{00000000-0011-0000-FFFF-FFFF60040000}">
      <tableStyleElement type="firstRowStripe" dxfId="163"/>
      <tableStyleElement type="secondRowStripe" dxfId="162"/>
    </tableStyle>
    <tableStyle name="FINAL 1.3 (Data for testing)-style 69" pivot="0" count="2" xr9:uid="{00000000-0011-0000-FFFF-FFFF61040000}">
      <tableStyleElement type="firstRowStripe" dxfId="161"/>
      <tableStyleElement type="secondRowStripe" dxfId="160"/>
    </tableStyle>
    <tableStyle name="FINAL 1.3 (Data for testing)-style 70" pivot="0" count="2" xr9:uid="{00000000-0011-0000-FFFF-FFFF62040000}">
      <tableStyleElement type="firstRowStripe" dxfId="159"/>
      <tableStyleElement type="secondRowStripe" dxfId="158"/>
    </tableStyle>
    <tableStyle name="FINAL 1.3 (Data for testing)-style 71" pivot="0" count="2" xr9:uid="{00000000-0011-0000-FFFF-FFFF63040000}">
      <tableStyleElement type="firstRowStripe" dxfId="157"/>
      <tableStyleElement type="secondRowStripe" dxfId="156"/>
    </tableStyle>
    <tableStyle name="FINAL 1.3 (Data for testing)-style 72" pivot="0" count="2" xr9:uid="{00000000-0011-0000-FFFF-FFFF64040000}">
      <tableStyleElement type="firstRowStripe" dxfId="155"/>
      <tableStyleElement type="secondRowStripe" dxfId="154"/>
    </tableStyle>
    <tableStyle name="FINAL 1.3 (Data for testing)-style 73" pivot="0" count="2" xr9:uid="{00000000-0011-0000-FFFF-FFFF65040000}">
      <tableStyleElement type="firstRowStripe" dxfId="153"/>
      <tableStyleElement type="secondRowStripe" dxfId="152"/>
    </tableStyle>
    <tableStyle name="FINAL 1.3 (Data for testing)-style 74" pivot="0" count="2" xr9:uid="{00000000-0011-0000-FFFF-FFFF66040000}">
      <tableStyleElement type="firstRowStripe" dxfId="151"/>
      <tableStyleElement type="secondRowStripe" dxfId="150"/>
    </tableStyle>
    <tableStyle name="FINAL 1.3 (Data for testing)-style 75" pivot="0" count="2" xr9:uid="{00000000-0011-0000-FFFF-FFFF67040000}">
      <tableStyleElement type="firstRowStripe" dxfId="149"/>
      <tableStyleElement type="secondRowStripe" dxfId="148"/>
    </tableStyle>
    <tableStyle name="FINAL 1.3 (Data for testing)-style 76" pivot="0" count="2" xr9:uid="{00000000-0011-0000-FFFF-FFFF68040000}">
      <tableStyleElement type="firstRowStripe" dxfId="147"/>
      <tableStyleElement type="secondRowStripe" dxfId="146"/>
    </tableStyle>
    <tableStyle name="FINAL 1.3 (Data for testing)-style 77" pivot="0" count="2" xr9:uid="{00000000-0011-0000-FFFF-FFFF69040000}">
      <tableStyleElement type="firstRowStripe" dxfId="145"/>
      <tableStyleElement type="secondRowStripe" dxfId="144"/>
    </tableStyle>
    <tableStyle name="FINAL 1.3 (Data for testing)-style 78" pivot="0" count="2" xr9:uid="{00000000-0011-0000-FFFF-FFFF6A040000}">
      <tableStyleElement type="firstRowStripe" dxfId="143"/>
      <tableStyleElement type="secondRowStripe" dxfId="142"/>
    </tableStyle>
    <tableStyle name="FINAL 1.3 (Data for testing)-style 79" pivot="0" count="2" xr9:uid="{00000000-0011-0000-FFFF-FFFF6B040000}">
      <tableStyleElement type="firstRowStripe" dxfId="141"/>
      <tableStyleElement type="secondRowStripe" dxfId="140"/>
    </tableStyle>
    <tableStyle name="FINAL 1.3 (Data for testing)-style 80" pivot="0" count="2" xr9:uid="{00000000-0011-0000-FFFF-FFFF6C040000}">
      <tableStyleElement type="firstRowStripe" dxfId="139"/>
      <tableStyleElement type="secondRowStripe" dxfId="138"/>
    </tableStyle>
    <tableStyle name="FINAL 1.3 (Data for testing)-style 81" pivot="0" count="2" xr9:uid="{00000000-0011-0000-FFFF-FFFF6D040000}">
      <tableStyleElement type="firstRowStripe" dxfId="137"/>
      <tableStyleElement type="secondRowStripe" dxfId="136"/>
    </tableStyle>
    <tableStyle name="FINAL 1.3 (Data for testing)-style 82" pivot="0" count="2" xr9:uid="{00000000-0011-0000-FFFF-FFFF6E040000}">
      <tableStyleElement type="firstRowStripe" dxfId="135"/>
      <tableStyleElement type="secondRowStripe" dxfId="134"/>
    </tableStyle>
    <tableStyle name="FINAL 1.3 (Data for testing)-style 83" pivot="0" count="2" xr9:uid="{00000000-0011-0000-FFFF-FFFF6F040000}">
      <tableStyleElement type="firstRowStripe" dxfId="133"/>
      <tableStyleElement type="secondRowStripe" dxfId="132"/>
    </tableStyle>
    <tableStyle name="FINAL 1.3 (Data for testing)-style 84" pivot="0" count="2" xr9:uid="{00000000-0011-0000-FFFF-FFFF70040000}">
      <tableStyleElement type="firstRowStripe" dxfId="131"/>
      <tableStyleElement type="secondRowStripe" dxfId="130"/>
    </tableStyle>
    <tableStyle name="FINAL 1.3 (Data for testing)-style 85" pivot="0" count="2" xr9:uid="{00000000-0011-0000-FFFF-FFFF71040000}">
      <tableStyleElement type="firstRowStripe" dxfId="129"/>
      <tableStyleElement type="secondRowStripe" dxfId="128"/>
    </tableStyle>
    <tableStyle name="FINAL 1.3 (Data for testing)-style 86" pivot="0" count="2" xr9:uid="{00000000-0011-0000-FFFF-FFFF72040000}">
      <tableStyleElement type="firstRowStripe" dxfId="127"/>
      <tableStyleElement type="secondRowStripe" dxfId="126"/>
    </tableStyle>
    <tableStyle name="FINAL 1.3 (Data for testing)-style 87" pivot="0" count="2" xr9:uid="{00000000-0011-0000-FFFF-FFFF73040000}">
      <tableStyleElement type="firstRowStripe" dxfId="125"/>
      <tableStyleElement type="secondRowStripe" dxfId="124"/>
    </tableStyle>
    <tableStyle name="FINAL 1.3 (Data for testing)-style 88" pivot="0" count="2" xr9:uid="{00000000-0011-0000-FFFF-FFFF74040000}">
      <tableStyleElement type="firstRowStripe" dxfId="123"/>
      <tableStyleElement type="secondRowStripe" dxfId="122"/>
    </tableStyle>
    <tableStyle name="FINAL 1.3 (Data for testing)-style 89" pivot="0" count="2" xr9:uid="{00000000-0011-0000-FFFF-FFFF75040000}">
      <tableStyleElement type="firstRowStripe" dxfId="121"/>
      <tableStyleElement type="secondRowStripe" dxfId="120"/>
    </tableStyle>
    <tableStyle name="FINAL 1.3 (Data for testing)-style 90" pivot="0" count="2" xr9:uid="{00000000-0011-0000-FFFF-FFFF76040000}">
      <tableStyleElement type="firstRowStripe" dxfId="119"/>
      <tableStyleElement type="secondRowStripe" dxfId="118"/>
    </tableStyle>
    <tableStyle name="FINAL 1.3 (Data for testing)-style 91" pivot="0" count="2" xr9:uid="{00000000-0011-0000-FFFF-FFFF77040000}">
      <tableStyleElement type="firstRowStripe" dxfId="117"/>
      <tableStyleElement type="secondRowStripe" dxfId="116"/>
    </tableStyle>
    <tableStyle name="FINAL 1.3 (Data for testing)-style 92" pivot="0" count="2" xr9:uid="{00000000-0011-0000-FFFF-FFFF78040000}">
      <tableStyleElement type="firstRowStripe" dxfId="115"/>
      <tableStyleElement type="secondRowStripe" dxfId="114"/>
    </tableStyle>
    <tableStyle name="FINAL 1.3 (Data for testing)-style 93" pivot="0" count="2" xr9:uid="{00000000-0011-0000-FFFF-FFFF79040000}">
      <tableStyleElement type="firstRowStripe" dxfId="113"/>
      <tableStyleElement type="secondRowStripe" dxfId="112"/>
    </tableStyle>
    <tableStyle name="FINAL 1.3 (Data for testing)-style 94" pivot="0" count="2" xr9:uid="{00000000-0011-0000-FFFF-FFFF7A040000}">
      <tableStyleElement type="firstRowStripe" dxfId="111"/>
      <tableStyleElement type="secondRowStripe" dxfId="110"/>
    </tableStyle>
    <tableStyle name="FINAL 1.3 (Data for testing)-style 95" pivot="0" count="2" xr9:uid="{00000000-0011-0000-FFFF-FFFF7B040000}">
      <tableStyleElement type="firstRowStripe" dxfId="109"/>
      <tableStyleElement type="secondRowStripe" dxfId="108"/>
    </tableStyle>
    <tableStyle name="FINAL 1.3 (Data for testing)-style 96" pivot="0" count="2" xr9:uid="{00000000-0011-0000-FFFF-FFFF7C040000}">
      <tableStyleElement type="firstRowStripe" dxfId="107"/>
      <tableStyleElement type="secondRowStripe" dxfId="106"/>
    </tableStyle>
    <tableStyle name="FINAL 1.3 (Data for testing)-style 97" pivot="0" count="2" xr9:uid="{00000000-0011-0000-FFFF-FFFF7D040000}">
      <tableStyleElement type="firstRowStripe" dxfId="105"/>
      <tableStyleElement type="secondRowStripe" dxfId="104"/>
    </tableStyle>
    <tableStyle name="FINAL 1.3 (Data for testing)-style 98" pivot="0" count="2" xr9:uid="{00000000-0011-0000-FFFF-FFFF7E040000}">
      <tableStyleElement type="firstRowStripe" dxfId="103"/>
      <tableStyleElement type="secondRowStripe" dxfId="102"/>
    </tableStyle>
    <tableStyle name="FINAL 1.3 (Data for testing)-style 99" pivot="0" count="2" xr9:uid="{00000000-0011-0000-FFFF-FFFF7F040000}">
      <tableStyleElement type="firstRowStripe" dxfId="101"/>
      <tableStyleElement type="secondRowStripe" dxfId="100"/>
    </tableStyle>
    <tableStyle name="FINAL 1.3 (Data for testing)-style 100" pivot="0" count="2" xr9:uid="{00000000-0011-0000-FFFF-FFFF80040000}">
      <tableStyleElement type="firstRowStripe" dxfId="99"/>
      <tableStyleElement type="secondRowStripe" dxfId="98"/>
    </tableStyle>
    <tableStyle name="FINAL 1.3 (Data for testing)-style 101" pivot="0" count="2" xr9:uid="{00000000-0011-0000-FFFF-FFFF81040000}">
      <tableStyleElement type="firstRowStripe" dxfId="97"/>
      <tableStyleElement type="secondRowStripe" dxfId="96"/>
    </tableStyle>
    <tableStyle name="FINAL 1.3 (Data for testing)-style 102" pivot="0" count="2" xr9:uid="{00000000-0011-0000-FFFF-FFFF82040000}">
      <tableStyleElement type="firstRowStripe" dxfId="95"/>
      <tableStyleElement type="secondRowStripe" dxfId="94"/>
    </tableStyle>
    <tableStyle name="FINAL 1.3 (Data for testing)-style 103" pivot="0" count="2" xr9:uid="{00000000-0011-0000-FFFF-FFFF83040000}">
      <tableStyleElement type="firstRowStripe" dxfId="93"/>
      <tableStyleElement type="secondRowStripe" dxfId="92"/>
    </tableStyle>
    <tableStyle name="FINAL 1.3 (Data for testing)-style 104" pivot="0" count="2" xr9:uid="{00000000-0011-0000-FFFF-FFFF84040000}">
      <tableStyleElement type="firstRowStripe" dxfId="91"/>
      <tableStyleElement type="secondRowStripe" dxfId="90"/>
    </tableStyle>
    <tableStyle name="FINAL 1.3 (Data for testing)-style 105" pivot="0" count="2" xr9:uid="{00000000-0011-0000-FFFF-FFFF85040000}">
      <tableStyleElement type="firstRowStripe" dxfId="89"/>
      <tableStyleElement type="secondRowStripe" dxfId="88"/>
    </tableStyle>
    <tableStyle name="FINAL 1.3 (Data for testing)-style 106" pivot="0" count="2" xr9:uid="{00000000-0011-0000-FFFF-FFFF86040000}">
      <tableStyleElement type="firstRowStripe" dxfId="87"/>
      <tableStyleElement type="secondRowStripe" dxfId="86"/>
    </tableStyle>
    <tableStyle name="FINAL 1.3 (Data for testing)-style 107" pivot="0" count="2" xr9:uid="{00000000-0011-0000-FFFF-FFFF87040000}">
      <tableStyleElement type="firstRowStripe" dxfId="85"/>
      <tableStyleElement type="secondRowStripe" dxfId="84"/>
    </tableStyle>
    <tableStyle name="FINAL 1.3 (Data for testing)-style 108" pivot="0" count="2" xr9:uid="{00000000-0011-0000-FFFF-FFFF88040000}">
      <tableStyleElement type="firstRowStripe" dxfId="83"/>
      <tableStyleElement type="secondRowStripe" dxfId="82"/>
    </tableStyle>
    <tableStyle name="FINAL 1.3 (Data for testing)-style 109" pivot="0" count="2" xr9:uid="{00000000-0011-0000-FFFF-FFFF89040000}">
      <tableStyleElement type="firstRowStripe" dxfId="81"/>
      <tableStyleElement type="secondRowStripe" dxfId="80"/>
    </tableStyle>
    <tableStyle name="COPY REAL-RECORD-style" pivot="0" count="4" xr9:uid="{00000000-0011-0000-FFFF-FFFF8A04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COPY REAL-RECORD-style 2" pivot="0" count="2" xr9:uid="{00000000-0011-0000-FFFF-FFFF8B040000}">
      <tableStyleElement type="firstRowStripe" dxfId="75"/>
      <tableStyleElement type="secondRowStripe" dxfId="74"/>
    </tableStyle>
    <tableStyle name="COPY REAL-RECORD-style 3" pivot="0" count="2" xr9:uid="{00000000-0011-0000-FFFF-FFFF8C040000}">
      <tableStyleElement type="firstRowStripe" dxfId="73"/>
      <tableStyleElement type="secondRowStripe" dxfId="72"/>
    </tableStyle>
    <tableStyle name="COPY REAL-RECORD-style 4" pivot="0" count="2" xr9:uid="{00000000-0011-0000-FFFF-FFFF8D040000}">
      <tableStyleElement type="firstRowStripe" dxfId="71"/>
      <tableStyleElement type="secondRowStripe" dxfId="70"/>
    </tableStyle>
    <tableStyle name="COPY REAL-RECORD-style 5" pivot="0" count="2" xr9:uid="{00000000-0011-0000-FFFF-FFFF8E040000}">
      <tableStyleElement type="firstRowStripe" dxfId="69"/>
      <tableStyleElement type="secondRowStripe" dxfId="68"/>
    </tableStyle>
    <tableStyle name="COPY REAL-RECORD-style 6" pivot="0" count="2" xr9:uid="{00000000-0011-0000-FFFF-FFFF8F040000}">
      <tableStyleElement type="firstRowStripe" dxfId="67"/>
      <tableStyleElement type="secondRowStripe" dxfId="66"/>
    </tableStyle>
    <tableStyle name="COPY REAL-RECORD-style 7" pivot="0" count="2" xr9:uid="{00000000-0011-0000-FFFF-FFFF90040000}">
      <tableStyleElement type="firstRowStripe" dxfId="65"/>
      <tableStyleElement type="secondRowStripe" dxfId="64"/>
    </tableStyle>
    <tableStyle name="COPY REAL-RECORD-style 8" pivot="0" count="2" xr9:uid="{00000000-0011-0000-FFFF-FFFF91040000}">
      <tableStyleElement type="firstRowStripe" dxfId="63"/>
      <tableStyleElement type="secondRowStripe" dxfId="62"/>
    </tableStyle>
    <tableStyle name="COPY REAL-RECORD-style 9" pivot="0" count="2" xr9:uid="{00000000-0011-0000-FFFF-FFFF92040000}">
      <tableStyleElement type="firstRowStripe" dxfId="61"/>
      <tableStyleElement type="secondRowStripe" dxfId="60"/>
    </tableStyle>
    <tableStyle name="COPY REAL-RECORD-style 10" pivot="0" count="2" xr9:uid="{00000000-0011-0000-FFFF-FFFF93040000}">
      <tableStyleElement type="firstRowStripe" dxfId="59"/>
      <tableStyleElement type="secondRowStripe" dxfId="58"/>
    </tableStyle>
    <tableStyle name="COPY REAL-RECORD-style 11" pivot="0" count="2" xr9:uid="{00000000-0011-0000-FFFF-FFFF94040000}">
      <tableStyleElement type="firstRowStripe" dxfId="57"/>
      <tableStyleElement type="secondRowStripe" dxfId="56"/>
    </tableStyle>
    <tableStyle name="COPY REAL-RECORD-style 12" pivot="0" count="2" xr9:uid="{00000000-0011-0000-FFFF-FFFF95040000}">
      <tableStyleElement type="firstRowStripe" dxfId="55"/>
      <tableStyleElement type="secondRowStripe" dxfId="54"/>
    </tableStyle>
    <tableStyle name="COPY REAL-RECORD-style 13" pivot="0" count="2" xr9:uid="{00000000-0011-0000-FFFF-FFFF96040000}">
      <tableStyleElement type="firstRowStripe" dxfId="53"/>
      <tableStyleElement type="secondRowStripe" dxfId="52"/>
    </tableStyle>
    <tableStyle name="COPY REAL-RECORD-style 14" pivot="0" count="2" xr9:uid="{00000000-0011-0000-FFFF-FFFF97040000}">
      <tableStyleElement type="firstRowStripe" dxfId="51"/>
      <tableStyleElement type="secondRowStripe" dxfId="50"/>
    </tableStyle>
    <tableStyle name="COPY REAL-RECORD-style 15" pivot="0" count="2" xr9:uid="{00000000-0011-0000-FFFF-FFFF98040000}">
      <tableStyleElement type="firstRowStripe" dxfId="49"/>
      <tableStyleElement type="secondRowStripe" dxfId="48"/>
    </tableStyle>
    <tableStyle name="COPY REAL-RECORD-style 16" pivot="0" count="2" xr9:uid="{00000000-0011-0000-FFFF-FFFF99040000}">
      <tableStyleElement type="firstRowStripe" dxfId="47"/>
      <tableStyleElement type="secondRowStripe" dxfId="46"/>
    </tableStyle>
    <tableStyle name="COPY REAL-RECORD-style 17" pivot="0" count="2" xr9:uid="{00000000-0011-0000-FFFF-FFFF9A040000}">
      <tableStyleElement type="firstRowStripe" dxfId="45"/>
      <tableStyleElement type="secondRowStripe" dxfId="44"/>
    </tableStyle>
    <tableStyle name="COPY REAL-RECORD-style 18" pivot="0" count="2" xr9:uid="{00000000-0011-0000-FFFF-FFFF9B040000}">
      <tableStyleElement type="firstRowStripe" dxfId="43"/>
      <tableStyleElement type="secondRowStripe" dxfId="42"/>
    </tableStyle>
    <tableStyle name="COPY REAL-RECORD-style 19" pivot="0" count="2" xr9:uid="{00000000-0011-0000-FFFF-FFFF9C040000}">
      <tableStyleElement type="firstRowStripe" dxfId="41"/>
      <tableStyleElement type="secondRowStripe" dxfId="40"/>
    </tableStyle>
    <tableStyle name="COPY REAL-RECORD-style 20" pivot="0" count="2" xr9:uid="{00000000-0011-0000-FFFF-FFFF9D040000}">
      <tableStyleElement type="firstRowStripe" dxfId="39"/>
      <tableStyleElement type="secondRowStripe" dxfId="38"/>
    </tableStyle>
    <tableStyle name="COPY REAL-RECORD-style 21" pivot="0" count="2" xr9:uid="{00000000-0011-0000-FFFF-FFFF9E040000}">
      <tableStyleElement type="firstRowStripe" dxfId="37"/>
      <tableStyleElement type="secondRowStripe" dxfId="36"/>
    </tableStyle>
    <tableStyle name="COPY REAL-RECORD-style 22" pivot="0" count="2" xr9:uid="{00000000-0011-0000-FFFF-FFFF9F040000}">
      <tableStyleElement type="firstRowStripe" dxfId="35"/>
      <tableStyleElement type="secondRowStripe" dxfId="34"/>
    </tableStyle>
    <tableStyle name="COPY REAL-RECORD-style 23" pivot="0" count="2" xr9:uid="{00000000-0011-0000-FFFF-FFFFA0040000}">
      <tableStyleElement type="firstRowStripe" dxfId="33"/>
      <tableStyleElement type="secondRowStripe" dxfId="32"/>
    </tableStyle>
    <tableStyle name="COPY REAL-RECORD-style 24" pivot="0" count="2" xr9:uid="{00000000-0011-0000-FFFF-FFFFA1040000}">
      <tableStyleElement type="firstRowStripe" dxfId="31"/>
      <tableStyleElement type="secondRowStripe" dxfId="30"/>
    </tableStyle>
    <tableStyle name="COPY REAL-RECORD-style 25" pivot="0" count="2" xr9:uid="{00000000-0011-0000-FFFF-FFFFA2040000}">
      <tableStyleElement type="firstRowStripe" dxfId="29"/>
      <tableStyleElement type="secondRowStripe" dxfId="28"/>
    </tableStyle>
    <tableStyle name="COPY REAL-RECORD-style 26" pivot="0" count="2" xr9:uid="{00000000-0011-0000-FFFF-FFFFA3040000}">
      <tableStyleElement type="firstRowStripe" dxfId="27"/>
      <tableStyleElement type="secondRowStripe" dxfId="26"/>
    </tableStyle>
    <tableStyle name="COPY REAL-RECORD-style 27" pivot="0" count="2" xr9:uid="{00000000-0011-0000-FFFF-FFFFA4040000}">
      <tableStyleElement type="firstRowStripe" dxfId="25"/>
      <tableStyleElement type="secondRowStripe" dxfId="24"/>
    </tableStyle>
    <tableStyle name="COPY REAL-RECORD-style 28" pivot="0" count="2" xr9:uid="{00000000-0011-0000-FFFF-FFFFA5040000}">
      <tableStyleElement type="firstRowStripe" dxfId="23"/>
      <tableStyleElement type="secondRowStripe" dxfId="22"/>
    </tableStyle>
    <tableStyle name="COPY REAL-RECORD-style 29" pivot="0" count="2" xr9:uid="{00000000-0011-0000-FFFF-FFFFA6040000}">
      <tableStyleElement type="firstRowStripe" dxfId="21"/>
      <tableStyleElement type="secondRowStripe" dxfId="20"/>
    </tableStyle>
    <tableStyle name="COPY REAL-RECORD-style 30" pivot="0" count="2" xr9:uid="{00000000-0011-0000-FFFF-FFFFA7040000}">
      <tableStyleElement type="firstRowStripe" dxfId="19"/>
      <tableStyleElement type="secondRowStripe" dxfId="18"/>
    </tableStyle>
    <tableStyle name="COPY REAL-RECORD-style 31" pivot="0" count="2" xr9:uid="{00000000-0011-0000-FFFF-FFFFA8040000}">
      <tableStyleElement type="firstRowStripe" dxfId="17"/>
      <tableStyleElement type="secondRowStripe" dxfId="16"/>
    </tableStyle>
    <tableStyle name="COPY REAL-RECORD-style 32" pivot="0" count="2" xr9:uid="{00000000-0011-0000-FFFF-FFFFA9040000}">
      <tableStyleElement type="firstRowStripe" dxfId="15"/>
      <tableStyleElement type="secondRowStripe" dxfId="14"/>
    </tableStyle>
    <tableStyle name="COPY REAL-RECORD-style 33" pivot="0" count="2" xr9:uid="{00000000-0011-0000-FFFF-FFFFAA040000}">
      <tableStyleElement type="firstRowStripe" dxfId="13"/>
      <tableStyleElement type="secondRowStripe" dxfId="12"/>
    </tableStyle>
    <tableStyle name="COPY REAL-RECORD-style 34" pivot="0" count="2" xr9:uid="{00000000-0011-0000-FFFF-FFFFAB040000}">
      <tableStyleElement type="firstRowStripe" dxfId="11"/>
      <tableStyleElement type="secondRowStripe" dxfId="10"/>
    </tableStyle>
    <tableStyle name="COPY REAL-RECORD-style 35" pivot="0" count="2" xr9:uid="{00000000-0011-0000-FFFF-FFFFAC040000}">
      <tableStyleElement type="firstRowStripe" dxfId="9"/>
      <tableStyleElement type="secondRowStripe" dxfId="8"/>
    </tableStyle>
    <tableStyle name="COPY REAL-RECORD-style 36" pivot="0" count="2" xr9:uid="{00000000-0011-0000-FFFF-FFFFAD040000}">
      <tableStyleElement type="firstRowStripe" dxfId="7"/>
      <tableStyleElement type="secondRowStripe" dxfId="6"/>
    </tableStyle>
    <tableStyle name="COPY REAL-RECORD-style 37" pivot="0" count="2" xr9:uid="{00000000-0011-0000-FFFF-FFFFAE040000}">
      <tableStyleElement type="firstRowStripe" dxfId="5"/>
      <tableStyleElement type="secondRowStripe" dxfId="4"/>
    </tableStyle>
    <tableStyle name="COPY REAL-RECORD-style 38" pivot="0" count="2" xr9:uid="{00000000-0011-0000-FFFF-FFFFAF040000}">
      <tableStyleElement type="firstRowStripe" dxfId="3"/>
      <tableStyleElement type="secondRowStripe" dxfId="2"/>
    </tableStyle>
    <tableStyle name="COPY REAL-RECORD-style 39" pivot="0" count="2" xr9:uid="{00000000-0011-0000-FFFF-FFFFB004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9" xr:uid="{00000000-000C-0000-FFFF-FFFF04040000}" name="Table_1021" displayName="Table_1021" ref="H112" headerRowCount="0">
  <tableColumns count="1">
    <tableColumn id="1" xr3:uid="{00000000-0010-0000-0404-000001000000}" name="Column1"/>
  </tableColumns>
  <tableStyleInfo name="2022-20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0" xr:uid="{00000000-000C-0000-FFFF-FFFF05040000}" name="Table_1022" displayName="Table_1022" ref="H113" headerRowCount="0">
  <tableColumns count="1">
    <tableColumn id="1" xr3:uid="{00000000-0010-0000-0504-000001000000}" name="Column1"/>
  </tableColumns>
  <tableStyleInfo name="2022-2025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1" xr:uid="{00000000-000C-0000-FFFF-FFFF06040000}" name="Table_1023" displayName="Table_1023" ref="H119" headerRowCount="0">
  <tableColumns count="1">
    <tableColumn id="1" xr3:uid="{00000000-0010-0000-0604-000001000000}" name="Column1"/>
  </tableColumns>
  <tableStyleInfo name="2022-2025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2" xr:uid="{00000000-000C-0000-FFFF-FFFF07040000}" name="Table_1024" displayName="Table_1024" ref="H120" headerRowCount="0">
  <tableColumns count="1">
    <tableColumn id="1" xr3:uid="{00000000-0010-0000-0704-000001000000}" name="Column1"/>
  </tableColumns>
  <tableStyleInfo name="2022-2025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3" xr:uid="{00000000-000C-0000-FFFF-FFFF08040000}" name="Table_1025" displayName="Table_1025" ref="H122" headerRowCount="0">
  <tableColumns count="1">
    <tableColumn id="1" xr3:uid="{00000000-0010-0000-0804-000001000000}" name="Column1"/>
  </tableColumns>
  <tableStyleInfo name="2022-2025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4" xr:uid="{00000000-000C-0000-FFFF-FFFF09040000}" name="Table_1026" displayName="Table_1026" ref="H123" headerRowCount="0">
  <tableColumns count="1">
    <tableColumn id="1" xr3:uid="{00000000-0010-0000-0904-000001000000}" name="Column1"/>
  </tableColumns>
  <tableStyleInfo name="2022-2025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5" xr:uid="{00000000-000C-0000-FFFF-FFFF0A040000}" name="Table_1027" displayName="Table_1027" ref="H124" headerRowCount="0">
  <tableColumns count="1">
    <tableColumn id="1" xr3:uid="{00000000-0010-0000-0A04-000001000000}" name="Column1"/>
  </tableColumns>
  <tableStyleInfo name="2022-2025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6" xr:uid="{00000000-000C-0000-FFFF-FFFF0B040000}" name="Table_1028" displayName="Table_1028" ref="H134" headerRowCount="0">
  <tableColumns count="1">
    <tableColumn id="1" xr3:uid="{00000000-0010-0000-0B04-000001000000}" name="Column1"/>
  </tableColumns>
  <tableStyleInfo name="2022-2025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7" xr:uid="{00000000-000C-0000-FFFF-FFFF0C040000}" name="Table_1029" displayName="Table_1029" ref="H162" headerRowCount="0">
  <tableColumns count="1">
    <tableColumn id="1" xr3:uid="{00000000-0010-0000-0C04-000001000000}" name="Column1"/>
  </tableColumns>
  <tableStyleInfo name="2022-2025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8" xr:uid="{00000000-000C-0000-FFFF-FFFF0D040000}" name="Table_1030" displayName="Table_1030" ref="H170" headerRowCount="0">
  <tableColumns count="1">
    <tableColumn id="1" xr3:uid="{00000000-0010-0000-0D04-000001000000}" name="Column1"/>
  </tableColumns>
  <tableStyleInfo name="2022-2025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9" xr:uid="{00000000-000C-0000-FFFF-FFFF0E040000}" name="Table_1031" displayName="Table_1031" ref="H173" headerRowCount="0">
  <tableColumns count="1">
    <tableColumn id="1" xr3:uid="{00000000-0010-0000-0E04-000001000000}" name="Column1"/>
  </tableColumns>
  <tableStyleInfo name="2022-2025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0" xr:uid="{00000000-000C-0000-FFFF-FFFF0F040000}" name="Table_1032" displayName="Table_1032" ref="H178" headerRowCount="0">
  <tableColumns count="1">
    <tableColumn id="1" xr3:uid="{00000000-0010-0000-0F04-000001000000}" name="Column1"/>
  </tableColumns>
  <tableStyleInfo name="2022-2025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1" xr:uid="{00000000-000C-0000-FFFF-FFFF10040000}" name="Table_1033" displayName="Table_1033" ref="H182" headerRowCount="0">
  <tableColumns count="1">
    <tableColumn id="1" xr3:uid="{00000000-0010-0000-1004-000001000000}" name="Column1"/>
  </tableColumns>
  <tableStyleInfo name="2022-2025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2" xr:uid="{00000000-000C-0000-FFFF-FFFF11040000}" name="Table_1034" displayName="Table_1034" ref="H195" headerRowCount="0">
  <tableColumns count="1">
    <tableColumn id="1" xr3:uid="{00000000-0010-0000-1104-000001000000}" name="Column1"/>
  </tableColumns>
  <tableStyleInfo name="2022-2025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3" xr:uid="{00000000-000C-0000-FFFF-FFFF12040000}" name="Table_1035" displayName="Table_1035" ref="H204" headerRowCount="0">
  <tableColumns count="1">
    <tableColumn id="1" xr3:uid="{00000000-0010-0000-1204-000001000000}" name="Column1"/>
  </tableColumns>
  <tableStyleInfo name="2022-2025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4" xr:uid="{00000000-000C-0000-FFFF-FFFF13040000}" name="Table_1036" displayName="Table_1036" ref="H206" headerRowCount="0">
  <tableColumns count="1">
    <tableColumn id="1" xr3:uid="{00000000-0010-0000-1304-000001000000}" name="Column1"/>
  </tableColumns>
  <tableStyleInfo name="2022-2025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5" xr:uid="{00000000-000C-0000-FFFF-FFFF14040000}" name="Table_1037" displayName="Table_1037" ref="H244" headerRowCount="0">
  <tableColumns count="1">
    <tableColumn id="1" xr3:uid="{00000000-0010-0000-1404-000001000000}" name="Column1"/>
  </tableColumns>
  <tableStyleInfo name="2022-2025-style 1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51"/>
  <sheetViews>
    <sheetView tabSelected="1" topLeftCell="A224" workbookViewId="0">
      <selection activeCell="E256" sqref="E256"/>
    </sheetView>
  </sheetViews>
  <sheetFormatPr defaultColWidth="12.5703125" defaultRowHeight="15.75" customHeight="1" x14ac:dyDescent="0.2"/>
  <cols>
    <col min="1" max="1" width="27.42578125" customWidth="1"/>
    <col min="6" max="6" width="26.28515625" customWidth="1"/>
    <col min="8" max="8" width="17.7109375" customWidth="1"/>
  </cols>
  <sheetData>
    <row r="1" spans="1:8" ht="12.75" x14ac:dyDescent="0.2">
      <c r="A1" s="1" t="s">
        <v>1</v>
      </c>
      <c r="B1" s="2" t="s">
        <v>252</v>
      </c>
      <c r="C1" s="2" t="s">
        <v>253</v>
      </c>
      <c r="D1" s="2" t="s">
        <v>254</v>
      </c>
      <c r="E1" s="3" t="s">
        <v>2</v>
      </c>
      <c r="F1" s="4" t="s">
        <v>3</v>
      </c>
      <c r="G1" s="6" t="s">
        <v>251</v>
      </c>
      <c r="H1" s="6" t="s">
        <v>255</v>
      </c>
    </row>
    <row r="2" spans="1:8" ht="15" x14ac:dyDescent="0.25">
      <c r="A2" s="5" t="s">
        <v>4</v>
      </c>
      <c r="B2" s="6">
        <v>84</v>
      </c>
      <c r="C2" s="6">
        <v>76</v>
      </c>
      <c r="D2" s="6">
        <v>67</v>
      </c>
      <c r="E2" s="7">
        <v>73.95</v>
      </c>
      <c r="F2" s="8" t="str">
        <f t="shared" ref="F2:F39" si="0">IF(E2&gt;=70,"PASSED", "---")</f>
        <v>PASSED</v>
      </c>
      <c r="G2" s="20">
        <v>2.21</v>
      </c>
      <c r="H2" s="25">
        <v>44652</v>
      </c>
    </row>
    <row r="3" spans="1:8" ht="12.75" x14ac:dyDescent="0.2">
      <c r="A3" s="9" t="s">
        <v>5</v>
      </c>
      <c r="B3" s="6">
        <v>71</v>
      </c>
      <c r="C3" s="6">
        <v>76</v>
      </c>
      <c r="D3" s="6">
        <v>69</v>
      </c>
      <c r="E3" s="7">
        <v>71.599999999999994</v>
      </c>
      <c r="F3" s="8" t="str">
        <f t="shared" si="0"/>
        <v>PASSED</v>
      </c>
      <c r="G3" s="20">
        <v>2.17</v>
      </c>
      <c r="H3" s="25">
        <v>44652</v>
      </c>
    </row>
    <row r="4" spans="1:8" ht="12.75" x14ac:dyDescent="0.2">
      <c r="A4" s="9" t="s">
        <v>7</v>
      </c>
      <c r="B4" s="6">
        <v>86</v>
      </c>
      <c r="C4" s="6">
        <v>80</v>
      </c>
      <c r="D4" s="6">
        <v>74</v>
      </c>
      <c r="E4" s="7">
        <v>78.8</v>
      </c>
      <c r="F4" s="8" t="str">
        <f t="shared" si="0"/>
        <v>PASSED</v>
      </c>
      <c r="G4" s="20">
        <v>2.81</v>
      </c>
      <c r="H4" s="25">
        <v>44652</v>
      </c>
    </row>
    <row r="5" spans="1:8" ht="12.75" x14ac:dyDescent="0.2">
      <c r="A5" s="9" t="s">
        <v>8</v>
      </c>
      <c r="B5" s="6">
        <v>82</v>
      </c>
      <c r="C5" s="6">
        <v>78</v>
      </c>
      <c r="D5" s="6">
        <v>70</v>
      </c>
      <c r="E5" s="7">
        <v>75.400000000000006</v>
      </c>
      <c r="F5" s="8" t="str">
        <f t="shared" si="0"/>
        <v>PASSED</v>
      </c>
      <c r="G5" s="20">
        <v>2.52</v>
      </c>
      <c r="H5" s="25">
        <v>44652</v>
      </c>
    </row>
    <row r="6" spans="1:8" ht="12.75" x14ac:dyDescent="0.2">
      <c r="A6" s="9" t="s">
        <v>9</v>
      </c>
      <c r="B6" s="6">
        <v>77</v>
      </c>
      <c r="C6" s="6">
        <v>71</v>
      </c>
      <c r="D6" s="6">
        <v>69</v>
      </c>
      <c r="E6" s="7">
        <v>71.599999999999994</v>
      </c>
      <c r="F6" s="8" t="str">
        <f t="shared" si="0"/>
        <v>PASSED</v>
      </c>
      <c r="G6" s="20">
        <v>2.0699999999999998</v>
      </c>
      <c r="H6" s="25">
        <v>44652</v>
      </c>
    </row>
    <row r="7" spans="1:8" ht="12.75" x14ac:dyDescent="0.2">
      <c r="A7" s="9" t="s">
        <v>10</v>
      </c>
      <c r="B7" s="6">
        <v>87</v>
      </c>
      <c r="C7" s="6">
        <v>81</v>
      </c>
      <c r="D7" s="6">
        <v>75</v>
      </c>
      <c r="E7" s="7">
        <v>79.8</v>
      </c>
      <c r="F7" s="8" t="str">
        <f t="shared" si="0"/>
        <v>PASSED</v>
      </c>
      <c r="G7" s="20">
        <v>2.81</v>
      </c>
      <c r="H7" s="25">
        <v>44652</v>
      </c>
    </row>
    <row r="8" spans="1:8" ht="12.75" x14ac:dyDescent="0.2">
      <c r="A8" s="9" t="s">
        <v>11</v>
      </c>
      <c r="B8" s="6">
        <v>90</v>
      </c>
      <c r="C8" s="6">
        <v>79</v>
      </c>
      <c r="D8" s="6">
        <v>70</v>
      </c>
      <c r="E8" s="7">
        <v>77.7</v>
      </c>
      <c r="F8" s="8" t="str">
        <f t="shared" si="0"/>
        <v>PASSED</v>
      </c>
      <c r="G8" s="20">
        <v>2.78</v>
      </c>
      <c r="H8" s="25">
        <v>44652</v>
      </c>
    </row>
    <row r="9" spans="1:8" ht="12.75" x14ac:dyDescent="0.2">
      <c r="A9" s="9" t="s">
        <v>13</v>
      </c>
      <c r="B9" s="6">
        <v>93</v>
      </c>
      <c r="C9" s="6">
        <v>86</v>
      </c>
      <c r="D9" s="6">
        <v>75</v>
      </c>
      <c r="E9" s="7">
        <v>82.9</v>
      </c>
      <c r="F9" s="8" t="str">
        <f t="shared" si="0"/>
        <v>PASSED</v>
      </c>
      <c r="G9" s="20">
        <v>2.52</v>
      </c>
      <c r="H9" s="25">
        <v>44652</v>
      </c>
    </row>
    <row r="10" spans="1:8" ht="12.75" x14ac:dyDescent="0.2">
      <c r="A10" s="9" t="s">
        <v>14</v>
      </c>
      <c r="B10" s="6">
        <v>86</v>
      </c>
      <c r="C10" s="6">
        <v>77</v>
      </c>
      <c r="D10" s="6">
        <v>70</v>
      </c>
      <c r="E10" s="7">
        <v>76.099999999999994</v>
      </c>
      <c r="F10" s="8" t="str">
        <f t="shared" si="0"/>
        <v>PASSED</v>
      </c>
      <c r="G10" s="20">
        <v>2.13</v>
      </c>
      <c r="H10" s="25">
        <v>44652</v>
      </c>
    </row>
    <row r="11" spans="1:8" ht="12.75" x14ac:dyDescent="0.2">
      <c r="A11" s="9" t="s">
        <v>15</v>
      </c>
      <c r="B11" s="6">
        <v>89</v>
      </c>
      <c r="C11" s="6">
        <v>86</v>
      </c>
      <c r="D11" s="6">
        <v>71</v>
      </c>
      <c r="E11" s="7">
        <v>80</v>
      </c>
      <c r="F11" s="8" t="str">
        <f t="shared" si="0"/>
        <v>PASSED</v>
      </c>
      <c r="G11" s="20">
        <v>1.62</v>
      </c>
      <c r="H11" s="25">
        <v>44652</v>
      </c>
    </row>
    <row r="12" spans="1:8" ht="12.75" x14ac:dyDescent="0.2">
      <c r="A12" s="9" t="s">
        <v>17</v>
      </c>
      <c r="B12" s="6">
        <v>80</v>
      </c>
      <c r="C12" s="6">
        <v>81</v>
      </c>
      <c r="D12" s="6">
        <v>66</v>
      </c>
      <c r="E12" s="7">
        <v>74</v>
      </c>
      <c r="F12" s="8" t="str">
        <f t="shared" si="0"/>
        <v>PASSED</v>
      </c>
      <c r="G12" s="20">
        <v>1.78</v>
      </c>
      <c r="H12" s="25">
        <v>44652</v>
      </c>
    </row>
    <row r="13" spans="1:8" ht="12.75" x14ac:dyDescent="0.2">
      <c r="A13" s="9" t="s">
        <v>19</v>
      </c>
      <c r="B13" s="6">
        <v>70</v>
      </c>
      <c r="C13" s="6">
        <v>70</v>
      </c>
      <c r="D13" s="6">
        <v>70</v>
      </c>
      <c r="E13" s="7">
        <v>70</v>
      </c>
      <c r="F13" s="8" t="str">
        <f t="shared" si="0"/>
        <v>PASSED</v>
      </c>
      <c r="G13" s="20">
        <v>2.8730000000000002</v>
      </c>
      <c r="H13" s="25">
        <v>44652</v>
      </c>
    </row>
    <row r="14" spans="1:8" ht="12.75" x14ac:dyDescent="0.2">
      <c r="A14" s="9" t="s">
        <v>21</v>
      </c>
      <c r="B14" s="6">
        <v>81</v>
      </c>
      <c r="C14" s="6">
        <v>78</v>
      </c>
      <c r="D14" s="6">
        <v>71</v>
      </c>
      <c r="E14" s="7">
        <v>75.599999999999994</v>
      </c>
      <c r="F14" s="8" t="str">
        <f t="shared" si="0"/>
        <v>PASSED</v>
      </c>
      <c r="G14" s="20">
        <v>2.6230000000000002</v>
      </c>
      <c r="H14" s="25">
        <v>44652</v>
      </c>
    </row>
    <row r="15" spans="1:8" ht="12.75" x14ac:dyDescent="0.2">
      <c r="A15" s="9" t="s">
        <v>22</v>
      </c>
      <c r="B15" s="6">
        <v>81</v>
      </c>
      <c r="C15" s="6">
        <v>80</v>
      </c>
      <c r="D15" s="6">
        <v>72</v>
      </c>
      <c r="E15" s="7">
        <v>76.650000000000006</v>
      </c>
      <c r="F15" s="8" t="str">
        <f t="shared" si="0"/>
        <v>PASSED</v>
      </c>
      <c r="G15" s="20">
        <v>2.62</v>
      </c>
      <c r="H15" s="25">
        <v>44652</v>
      </c>
    </row>
    <row r="16" spans="1:8" ht="12.75" x14ac:dyDescent="0.2">
      <c r="A16" s="9" t="s">
        <v>24</v>
      </c>
      <c r="B16" s="6">
        <v>89</v>
      </c>
      <c r="C16" s="6">
        <v>77</v>
      </c>
      <c r="D16" s="6">
        <v>67</v>
      </c>
      <c r="E16" s="7">
        <v>75.5</v>
      </c>
      <c r="F16" s="8" t="str">
        <f t="shared" si="0"/>
        <v>PASSED</v>
      </c>
      <c r="G16" s="20">
        <v>2.15</v>
      </c>
      <c r="H16" s="25">
        <v>44652</v>
      </c>
    </row>
    <row r="17" spans="1:8" ht="12.75" x14ac:dyDescent="0.2">
      <c r="A17" s="9" t="s">
        <v>26</v>
      </c>
      <c r="B17" s="6">
        <v>70</v>
      </c>
      <c r="C17" s="6">
        <v>70</v>
      </c>
      <c r="D17" s="6">
        <v>70</v>
      </c>
      <c r="E17" s="7">
        <v>70</v>
      </c>
      <c r="F17" s="8" t="str">
        <f t="shared" si="0"/>
        <v>PASSED</v>
      </c>
      <c r="G17" s="20">
        <v>2.4700000000000002</v>
      </c>
      <c r="H17" s="25">
        <v>44652</v>
      </c>
    </row>
    <row r="18" spans="1:8" ht="12.75" x14ac:dyDescent="0.2">
      <c r="A18" s="9" t="s">
        <v>27</v>
      </c>
      <c r="B18" s="6">
        <v>83</v>
      </c>
      <c r="C18" s="6">
        <v>79</v>
      </c>
      <c r="D18" s="6">
        <v>75</v>
      </c>
      <c r="E18" s="7">
        <v>78.2</v>
      </c>
      <c r="F18" s="8" t="str">
        <f t="shared" si="0"/>
        <v>PASSED</v>
      </c>
      <c r="G18" s="20">
        <v>2.0903999999999998</v>
      </c>
      <c r="H18" s="25">
        <v>44652</v>
      </c>
    </row>
    <row r="19" spans="1:8" ht="12.75" x14ac:dyDescent="0.2">
      <c r="A19" s="9" t="s">
        <v>29</v>
      </c>
      <c r="B19" s="6">
        <v>86</v>
      </c>
      <c r="C19" s="6">
        <v>87</v>
      </c>
      <c r="D19" s="6">
        <v>71</v>
      </c>
      <c r="E19" s="7">
        <v>79.55</v>
      </c>
      <c r="F19" s="8" t="str">
        <f t="shared" si="0"/>
        <v>PASSED</v>
      </c>
      <c r="G19" s="20">
        <v>1.67</v>
      </c>
      <c r="H19" s="25">
        <v>44652</v>
      </c>
    </row>
    <row r="20" spans="1:8" ht="12.75" x14ac:dyDescent="0.2">
      <c r="A20" s="9" t="s">
        <v>31</v>
      </c>
      <c r="B20" s="6">
        <v>80</v>
      </c>
      <c r="C20" s="6">
        <v>77</v>
      </c>
      <c r="D20" s="6">
        <v>62</v>
      </c>
      <c r="E20" s="7">
        <v>71</v>
      </c>
      <c r="F20" s="8" t="str">
        <f t="shared" si="0"/>
        <v>PASSED</v>
      </c>
      <c r="G20" s="20">
        <v>2.1970000000000001</v>
      </c>
      <c r="H20" s="25">
        <v>44652</v>
      </c>
    </row>
    <row r="21" spans="1:8" ht="12.75" x14ac:dyDescent="0.2">
      <c r="A21" s="9" t="s">
        <v>32</v>
      </c>
      <c r="B21" s="6">
        <v>83</v>
      </c>
      <c r="C21" s="6">
        <v>81</v>
      </c>
      <c r="D21" s="6">
        <v>71</v>
      </c>
      <c r="E21" s="7">
        <v>77</v>
      </c>
      <c r="F21" s="8" t="str">
        <f t="shared" si="0"/>
        <v>PASSED</v>
      </c>
      <c r="G21" s="20">
        <v>2.2799999999999998</v>
      </c>
      <c r="H21" s="25">
        <v>44652</v>
      </c>
    </row>
    <row r="22" spans="1:8" ht="12.75" x14ac:dyDescent="0.2">
      <c r="A22" s="9" t="s">
        <v>33</v>
      </c>
      <c r="B22" s="6">
        <v>81</v>
      </c>
      <c r="C22" s="6">
        <v>78</v>
      </c>
      <c r="D22" s="6">
        <v>72</v>
      </c>
      <c r="E22" s="7">
        <v>76.5</v>
      </c>
      <c r="F22" s="8" t="str">
        <f t="shared" si="0"/>
        <v>PASSED</v>
      </c>
      <c r="G22" s="20">
        <v>1.972</v>
      </c>
      <c r="H22" s="25">
        <v>44652</v>
      </c>
    </row>
    <row r="23" spans="1:8" ht="12.75" x14ac:dyDescent="0.2">
      <c r="A23" s="9" t="s">
        <v>34</v>
      </c>
      <c r="B23" s="6">
        <v>81</v>
      </c>
      <c r="C23" s="6">
        <v>78</v>
      </c>
      <c r="D23" s="6">
        <v>72</v>
      </c>
      <c r="E23" s="7">
        <v>76.05</v>
      </c>
      <c r="F23" s="8" t="str">
        <f t="shared" si="0"/>
        <v>PASSED</v>
      </c>
      <c r="G23" s="20">
        <v>2.33</v>
      </c>
      <c r="H23" s="25">
        <v>44652</v>
      </c>
    </row>
    <row r="24" spans="1:8" ht="12.75" x14ac:dyDescent="0.2">
      <c r="A24" s="9" t="s">
        <v>35</v>
      </c>
      <c r="B24" s="6">
        <v>93</v>
      </c>
      <c r="C24" s="6">
        <v>86</v>
      </c>
      <c r="D24" s="6">
        <v>66</v>
      </c>
      <c r="E24" s="7">
        <v>78.75</v>
      </c>
      <c r="F24" s="8" t="str">
        <f t="shared" si="0"/>
        <v>PASSED</v>
      </c>
      <c r="G24" s="20">
        <v>1.48</v>
      </c>
      <c r="H24" s="25">
        <v>44652</v>
      </c>
    </row>
    <row r="25" spans="1:8" ht="12.75" x14ac:dyDescent="0.2">
      <c r="A25" s="9" t="s">
        <v>36</v>
      </c>
      <c r="B25" s="6">
        <v>86</v>
      </c>
      <c r="C25" s="6">
        <v>78</v>
      </c>
      <c r="D25" s="6">
        <v>70</v>
      </c>
      <c r="E25" s="7">
        <v>76.400000000000006</v>
      </c>
      <c r="F25" s="8" t="str">
        <f t="shared" si="0"/>
        <v>PASSED</v>
      </c>
      <c r="G25" s="20">
        <v>2.06</v>
      </c>
      <c r="H25" s="25">
        <v>44652</v>
      </c>
    </row>
    <row r="26" spans="1:8" ht="12.75" x14ac:dyDescent="0.2">
      <c r="A26" s="9" t="s">
        <v>38</v>
      </c>
      <c r="B26" s="6">
        <v>92</v>
      </c>
      <c r="C26" s="6">
        <v>84</v>
      </c>
      <c r="D26" s="6">
        <v>74</v>
      </c>
      <c r="E26" s="7">
        <v>81.5</v>
      </c>
      <c r="F26" s="8" t="str">
        <f t="shared" si="0"/>
        <v>PASSED</v>
      </c>
      <c r="G26" s="20">
        <v>2.04</v>
      </c>
      <c r="H26" s="25">
        <v>44652</v>
      </c>
    </row>
    <row r="27" spans="1:8" ht="12.75" x14ac:dyDescent="0.2">
      <c r="A27" s="9" t="s">
        <v>40</v>
      </c>
      <c r="B27" s="6">
        <v>80</v>
      </c>
      <c r="C27" s="6">
        <v>80</v>
      </c>
      <c r="D27" s="6">
        <v>69</v>
      </c>
      <c r="E27" s="7">
        <v>75.2</v>
      </c>
      <c r="F27" s="8" t="str">
        <f t="shared" si="0"/>
        <v>PASSED</v>
      </c>
      <c r="G27" s="20">
        <v>2.6</v>
      </c>
      <c r="H27" s="25">
        <v>44652</v>
      </c>
    </row>
    <row r="28" spans="1:8" ht="12.75" x14ac:dyDescent="0.2">
      <c r="A28" s="11" t="s">
        <v>42</v>
      </c>
      <c r="B28" s="12">
        <v>86</v>
      </c>
      <c r="C28" s="12">
        <v>82</v>
      </c>
      <c r="D28" s="12">
        <v>69</v>
      </c>
      <c r="E28" s="7">
        <v>77.150000000000006</v>
      </c>
      <c r="F28" s="8" t="str">
        <f t="shared" si="0"/>
        <v>PASSED</v>
      </c>
      <c r="G28" s="8">
        <v>1.9</v>
      </c>
      <c r="H28" s="26">
        <v>44652</v>
      </c>
    </row>
    <row r="29" spans="1:8" ht="12.75" x14ac:dyDescent="0.2">
      <c r="A29" s="11" t="s">
        <v>43</v>
      </c>
      <c r="B29" s="12">
        <v>70</v>
      </c>
      <c r="C29" s="12">
        <v>70</v>
      </c>
      <c r="D29" s="12">
        <v>70</v>
      </c>
      <c r="E29" s="7">
        <v>70</v>
      </c>
      <c r="F29" s="8" t="str">
        <f t="shared" si="0"/>
        <v>PASSED</v>
      </c>
      <c r="G29" s="8">
        <v>2.1</v>
      </c>
      <c r="H29" s="26">
        <v>44652</v>
      </c>
    </row>
    <row r="30" spans="1:8" ht="12.75" x14ac:dyDescent="0.2">
      <c r="A30" s="11" t="s">
        <v>44</v>
      </c>
      <c r="B30" s="12">
        <v>83</v>
      </c>
      <c r="C30" s="12">
        <v>79</v>
      </c>
      <c r="D30" s="12">
        <v>67</v>
      </c>
      <c r="E30" s="7">
        <v>74.599999999999994</v>
      </c>
      <c r="F30" s="8" t="str">
        <f t="shared" si="0"/>
        <v>PASSED</v>
      </c>
      <c r="G30" s="8">
        <v>2.46</v>
      </c>
      <c r="H30" s="26">
        <v>44652</v>
      </c>
    </row>
    <row r="31" spans="1:8" ht="12.75" x14ac:dyDescent="0.2">
      <c r="A31" s="11" t="s">
        <v>45</v>
      </c>
      <c r="B31" s="12">
        <v>84</v>
      </c>
      <c r="C31" s="12">
        <v>73</v>
      </c>
      <c r="D31" s="12">
        <v>63</v>
      </c>
      <c r="E31" s="7">
        <v>71.25</v>
      </c>
      <c r="F31" s="8" t="str">
        <f t="shared" si="0"/>
        <v>PASSED</v>
      </c>
      <c r="G31" s="8">
        <v>1.89</v>
      </c>
      <c r="H31" s="26">
        <v>44652</v>
      </c>
    </row>
    <row r="32" spans="1:8" ht="12.75" x14ac:dyDescent="0.2">
      <c r="A32" s="11" t="s">
        <v>46</v>
      </c>
      <c r="B32" s="12">
        <v>86</v>
      </c>
      <c r="C32" s="12">
        <v>81</v>
      </c>
      <c r="D32" s="12">
        <v>72</v>
      </c>
      <c r="E32" s="7">
        <v>78.2</v>
      </c>
      <c r="F32" s="8" t="str">
        <f t="shared" si="0"/>
        <v>PASSED</v>
      </c>
      <c r="G32" s="8">
        <v>1.81</v>
      </c>
      <c r="H32" s="26">
        <v>44652</v>
      </c>
    </row>
    <row r="33" spans="1:8" ht="12.75" x14ac:dyDescent="0.2">
      <c r="A33" s="11" t="s">
        <v>47</v>
      </c>
      <c r="B33" s="12">
        <v>83</v>
      </c>
      <c r="C33" s="12">
        <v>79</v>
      </c>
      <c r="D33" s="12">
        <v>74</v>
      </c>
      <c r="E33" s="7">
        <v>77.75</v>
      </c>
      <c r="F33" s="8" t="str">
        <f t="shared" si="0"/>
        <v>PASSED</v>
      </c>
      <c r="G33" s="8">
        <v>2.13</v>
      </c>
      <c r="H33" s="26">
        <v>44652</v>
      </c>
    </row>
    <row r="34" spans="1:8" ht="12.75" x14ac:dyDescent="0.2">
      <c r="A34" s="11" t="s">
        <v>48</v>
      </c>
      <c r="B34" s="12">
        <v>83</v>
      </c>
      <c r="C34" s="12">
        <v>80</v>
      </c>
      <c r="D34" s="12">
        <v>63</v>
      </c>
      <c r="E34" s="7">
        <v>73.099999999999994</v>
      </c>
      <c r="F34" s="8" t="str">
        <f t="shared" si="0"/>
        <v>PASSED</v>
      </c>
      <c r="G34" s="8">
        <v>2.52</v>
      </c>
      <c r="H34" s="26">
        <v>44652</v>
      </c>
    </row>
    <row r="35" spans="1:8" ht="12.75" x14ac:dyDescent="0.2">
      <c r="A35" s="11" t="s">
        <v>49</v>
      </c>
      <c r="B35" s="12">
        <v>84</v>
      </c>
      <c r="C35" s="12">
        <v>83</v>
      </c>
      <c r="D35" s="12">
        <v>69</v>
      </c>
      <c r="E35" s="7">
        <v>76.95</v>
      </c>
      <c r="F35" s="8" t="str">
        <f t="shared" si="0"/>
        <v>PASSED</v>
      </c>
      <c r="G35" s="8">
        <v>2.34</v>
      </c>
      <c r="H35" s="26">
        <v>44652</v>
      </c>
    </row>
    <row r="36" spans="1:8" ht="12.75" x14ac:dyDescent="0.2">
      <c r="A36" s="11" t="s">
        <v>50</v>
      </c>
      <c r="B36" s="12">
        <v>81</v>
      </c>
      <c r="C36" s="12">
        <v>78</v>
      </c>
      <c r="D36" s="12">
        <v>64</v>
      </c>
      <c r="E36" s="7">
        <v>72.45</v>
      </c>
      <c r="F36" s="8" t="str">
        <f t="shared" si="0"/>
        <v>PASSED</v>
      </c>
      <c r="G36" s="8">
        <v>2.25</v>
      </c>
      <c r="H36" s="26">
        <v>44652</v>
      </c>
    </row>
    <row r="37" spans="1:8" ht="12.75" x14ac:dyDescent="0.2">
      <c r="A37" s="11" t="s">
        <v>52</v>
      </c>
      <c r="B37" s="12">
        <v>83</v>
      </c>
      <c r="C37" s="12">
        <v>74</v>
      </c>
      <c r="D37" s="12">
        <v>72</v>
      </c>
      <c r="E37" s="7">
        <v>75.36</v>
      </c>
      <c r="F37" s="8" t="str">
        <f t="shared" si="0"/>
        <v>PASSED</v>
      </c>
      <c r="G37" s="8">
        <v>2.29</v>
      </c>
      <c r="H37" s="26">
        <v>44652</v>
      </c>
    </row>
    <row r="38" spans="1:8" ht="12.75" x14ac:dyDescent="0.2">
      <c r="A38" s="11" t="s">
        <v>54</v>
      </c>
      <c r="B38" s="12">
        <v>88</v>
      </c>
      <c r="C38" s="12">
        <v>84</v>
      </c>
      <c r="D38" s="12">
        <v>75</v>
      </c>
      <c r="E38" s="7">
        <v>80.95</v>
      </c>
      <c r="F38" s="8" t="str">
        <f t="shared" si="0"/>
        <v>PASSED</v>
      </c>
      <c r="G38" s="8">
        <v>2.09</v>
      </c>
      <c r="H38" s="26">
        <v>44652</v>
      </c>
    </row>
    <row r="39" spans="1:8" ht="12.75" x14ac:dyDescent="0.2">
      <c r="A39" s="11" t="s">
        <v>55</v>
      </c>
      <c r="B39" s="12">
        <v>77</v>
      </c>
      <c r="C39" s="12">
        <v>75</v>
      </c>
      <c r="D39" s="12">
        <v>69</v>
      </c>
      <c r="E39" s="7">
        <v>72.8</v>
      </c>
      <c r="F39" s="8" t="str">
        <f t="shared" si="0"/>
        <v>PASSED</v>
      </c>
      <c r="G39" s="8">
        <v>2.14</v>
      </c>
      <c r="H39" s="26">
        <v>44652</v>
      </c>
    </row>
    <row r="40" spans="1:8" ht="12.75" x14ac:dyDescent="0.2">
      <c r="A40" s="9" t="s">
        <v>6</v>
      </c>
      <c r="B40" s="6">
        <v>84</v>
      </c>
      <c r="C40" s="6">
        <v>66</v>
      </c>
      <c r="D40" s="6">
        <v>50</v>
      </c>
      <c r="E40" s="10">
        <v>63.3</v>
      </c>
      <c r="F40" s="12" t="s">
        <v>256</v>
      </c>
      <c r="G40" s="20">
        <v>2.0099999999999998</v>
      </c>
      <c r="H40" s="25">
        <v>44652</v>
      </c>
    </row>
    <row r="41" spans="1:8" ht="12.75" x14ac:dyDescent="0.2">
      <c r="A41" s="9" t="s">
        <v>12</v>
      </c>
      <c r="B41" s="6">
        <v>78</v>
      </c>
      <c r="C41" s="6">
        <v>72</v>
      </c>
      <c r="D41" s="6">
        <v>56</v>
      </c>
      <c r="E41" s="10">
        <v>66.3</v>
      </c>
      <c r="F41" s="12" t="s">
        <v>256</v>
      </c>
      <c r="G41" s="20">
        <v>2.1968000000000001</v>
      </c>
      <c r="H41" s="25">
        <v>44652</v>
      </c>
    </row>
    <row r="42" spans="1:8" ht="12.75" x14ac:dyDescent="0.2">
      <c r="A42" s="9" t="s">
        <v>16</v>
      </c>
      <c r="B42" s="6">
        <v>78</v>
      </c>
      <c r="C42" s="6">
        <v>71</v>
      </c>
      <c r="D42" s="6">
        <v>38</v>
      </c>
      <c r="E42" s="10">
        <v>57.9</v>
      </c>
      <c r="F42" s="12" t="s">
        <v>256</v>
      </c>
      <c r="G42" s="20">
        <v>2.2999999999999998</v>
      </c>
      <c r="H42" s="25">
        <v>44652</v>
      </c>
    </row>
    <row r="43" spans="1:8" ht="12.75" x14ac:dyDescent="0.2">
      <c r="A43" s="9" t="s">
        <v>18</v>
      </c>
      <c r="B43" s="6">
        <v>75</v>
      </c>
      <c r="C43" s="6">
        <v>71</v>
      </c>
      <c r="D43" s="6">
        <v>53</v>
      </c>
      <c r="E43" s="10">
        <v>63.9</v>
      </c>
      <c r="F43" s="12" t="s">
        <v>256</v>
      </c>
      <c r="G43" s="20">
        <v>2.5099999999999998</v>
      </c>
      <c r="H43" s="25">
        <v>44652</v>
      </c>
    </row>
    <row r="44" spans="1:8" ht="12.75" x14ac:dyDescent="0.2">
      <c r="A44" s="9" t="s">
        <v>20</v>
      </c>
      <c r="B44" s="6">
        <v>71</v>
      </c>
      <c r="C44" s="6">
        <v>72</v>
      </c>
      <c r="D44" s="6">
        <v>49</v>
      </c>
      <c r="E44" s="10">
        <v>61.4</v>
      </c>
      <c r="F44" s="12" t="s">
        <v>256</v>
      </c>
      <c r="G44" s="20">
        <v>2.12</v>
      </c>
      <c r="H44" s="25">
        <v>44652</v>
      </c>
    </row>
    <row r="45" spans="1:8" ht="12.75" x14ac:dyDescent="0.2">
      <c r="A45" s="9" t="s">
        <v>23</v>
      </c>
      <c r="B45" s="6">
        <v>78</v>
      </c>
      <c r="C45" s="6">
        <v>71</v>
      </c>
      <c r="D45" s="6">
        <v>52</v>
      </c>
      <c r="E45" s="10">
        <v>64.2</v>
      </c>
      <c r="F45" s="12" t="s">
        <v>256</v>
      </c>
      <c r="G45" s="20">
        <v>2.41</v>
      </c>
      <c r="H45" s="25">
        <v>44652</v>
      </c>
    </row>
    <row r="46" spans="1:8" ht="12.75" x14ac:dyDescent="0.2">
      <c r="A46" s="9" t="s">
        <v>25</v>
      </c>
      <c r="B46" s="6">
        <v>78</v>
      </c>
      <c r="C46" s="6">
        <v>72</v>
      </c>
      <c r="D46" s="6">
        <v>43</v>
      </c>
      <c r="E46" s="10">
        <v>60.45</v>
      </c>
      <c r="F46" s="12" t="s">
        <v>256</v>
      </c>
      <c r="G46" s="20">
        <v>2.16</v>
      </c>
      <c r="H46" s="25">
        <v>44652</v>
      </c>
    </row>
    <row r="47" spans="1:8" ht="12.75" x14ac:dyDescent="0.2">
      <c r="A47" s="9" t="s">
        <v>28</v>
      </c>
      <c r="B47" s="6">
        <v>74</v>
      </c>
      <c r="C47" s="6">
        <v>73</v>
      </c>
      <c r="D47" s="6">
        <v>45</v>
      </c>
      <c r="E47" s="10">
        <v>60.65</v>
      </c>
      <c r="F47" s="12" t="s">
        <v>256</v>
      </c>
      <c r="G47" s="20">
        <v>2.2000000000000002</v>
      </c>
      <c r="H47" s="25">
        <v>44652</v>
      </c>
    </row>
    <row r="48" spans="1:8" ht="12.75" x14ac:dyDescent="0.2">
      <c r="A48" s="11" t="s">
        <v>30</v>
      </c>
      <c r="B48" s="12">
        <v>74</v>
      </c>
      <c r="C48" s="12">
        <v>66</v>
      </c>
      <c r="D48" s="12">
        <v>41</v>
      </c>
      <c r="E48" s="10">
        <v>56.75</v>
      </c>
      <c r="F48" s="12" t="s">
        <v>256</v>
      </c>
      <c r="G48" s="21">
        <v>2.5628000000000002</v>
      </c>
      <c r="H48" s="25">
        <v>44652</v>
      </c>
    </row>
    <row r="49" spans="1:8" ht="12.75" x14ac:dyDescent="0.2">
      <c r="A49" s="9" t="s">
        <v>37</v>
      </c>
      <c r="B49" s="6">
        <v>72</v>
      </c>
      <c r="C49" s="6">
        <v>69</v>
      </c>
      <c r="D49" s="6">
        <v>39</v>
      </c>
      <c r="E49" s="10">
        <v>56.25</v>
      </c>
      <c r="F49" s="12" t="s">
        <v>256</v>
      </c>
      <c r="G49" s="20">
        <v>2.37</v>
      </c>
      <c r="H49" s="25">
        <v>44652</v>
      </c>
    </row>
    <row r="50" spans="1:8" ht="12.75" x14ac:dyDescent="0.2">
      <c r="A50" s="9" t="s">
        <v>39</v>
      </c>
      <c r="B50" s="6">
        <v>71</v>
      </c>
      <c r="C50" s="6">
        <v>56</v>
      </c>
      <c r="D50" s="6">
        <v>53</v>
      </c>
      <c r="E50" s="10">
        <v>58.4</v>
      </c>
      <c r="F50" s="12" t="s">
        <v>256</v>
      </c>
      <c r="G50" s="20">
        <v>2.46</v>
      </c>
      <c r="H50" s="25">
        <v>44652</v>
      </c>
    </row>
    <row r="51" spans="1:8" ht="12.75" x14ac:dyDescent="0.2">
      <c r="A51" s="9" t="s">
        <v>41</v>
      </c>
      <c r="B51" s="6">
        <v>75</v>
      </c>
      <c r="C51" s="6">
        <v>74</v>
      </c>
      <c r="D51" s="6">
        <v>56</v>
      </c>
      <c r="E51" s="10">
        <v>66.150000000000006</v>
      </c>
      <c r="F51" s="12" t="s">
        <v>256</v>
      </c>
      <c r="G51" s="20">
        <v>2.39</v>
      </c>
      <c r="H51" s="25">
        <v>44652</v>
      </c>
    </row>
    <row r="52" spans="1:8" ht="12.75" x14ac:dyDescent="0.2">
      <c r="A52" s="9" t="s">
        <v>51</v>
      </c>
      <c r="B52" s="6">
        <v>74</v>
      </c>
      <c r="C52" s="6">
        <v>66</v>
      </c>
      <c r="D52" s="6">
        <v>55</v>
      </c>
      <c r="E52" s="10">
        <v>63.5</v>
      </c>
      <c r="F52" s="12" t="s">
        <v>256</v>
      </c>
      <c r="G52" s="20">
        <v>2.4700000000000002</v>
      </c>
      <c r="H52" s="25">
        <v>44652</v>
      </c>
    </row>
    <row r="53" spans="1:8" ht="12.75" x14ac:dyDescent="0.2">
      <c r="A53" s="9" t="s">
        <v>53</v>
      </c>
      <c r="B53" s="6">
        <v>77</v>
      </c>
      <c r="C53" s="6">
        <v>64</v>
      </c>
      <c r="D53" s="6">
        <v>46</v>
      </c>
      <c r="E53" s="10">
        <v>59.5</v>
      </c>
      <c r="F53" s="12" t="s">
        <v>256</v>
      </c>
      <c r="G53" s="20">
        <v>2.2999999999999998</v>
      </c>
      <c r="H53" s="25">
        <v>44652</v>
      </c>
    </row>
    <row r="54" spans="1:8" ht="12.75" x14ac:dyDescent="0.2">
      <c r="A54" s="9" t="s">
        <v>56</v>
      </c>
      <c r="B54" s="6">
        <v>78</v>
      </c>
      <c r="C54" s="6">
        <v>66</v>
      </c>
      <c r="D54" s="6">
        <v>50</v>
      </c>
      <c r="E54" s="10">
        <v>61.8</v>
      </c>
      <c r="F54" s="12" t="s">
        <v>256</v>
      </c>
      <c r="G54" s="20">
        <v>2.21</v>
      </c>
      <c r="H54" s="25">
        <v>44652</v>
      </c>
    </row>
    <row r="55" spans="1:8" ht="12.75" x14ac:dyDescent="0.2">
      <c r="A55" s="11" t="s">
        <v>57</v>
      </c>
      <c r="B55" s="12">
        <v>78</v>
      </c>
      <c r="C55" s="12">
        <v>75</v>
      </c>
      <c r="D55" s="12">
        <v>50</v>
      </c>
      <c r="E55" s="10">
        <v>64.5</v>
      </c>
      <c r="F55" s="12" t="s">
        <v>256</v>
      </c>
      <c r="G55" s="8">
        <v>2.52</v>
      </c>
      <c r="H55" s="26">
        <v>44652</v>
      </c>
    </row>
    <row r="56" spans="1:8" ht="12.75" x14ac:dyDescent="0.2">
      <c r="A56" s="11" t="s">
        <v>58</v>
      </c>
      <c r="B56" s="12">
        <v>69</v>
      </c>
      <c r="C56" s="12">
        <v>60</v>
      </c>
      <c r="D56" s="12">
        <v>52</v>
      </c>
      <c r="E56" s="10">
        <v>58.65</v>
      </c>
      <c r="F56" s="12" t="s">
        <v>256</v>
      </c>
      <c r="G56" s="8">
        <v>2.4500000000000002</v>
      </c>
      <c r="H56" s="26">
        <v>44652</v>
      </c>
    </row>
    <row r="57" spans="1:8" ht="12.75" x14ac:dyDescent="0.2">
      <c r="A57" s="11" t="s">
        <v>59</v>
      </c>
      <c r="B57" s="12">
        <v>64</v>
      </c>
      <c r="C57" s="12">
        <v>55</v>
      </c>
      <c r="D57" s="12">
        <v>39</v>
      </c>
      <c r="E57" s="10">
        <v>50.05</v>
      </c>
      <c r="F57" s="12" t="s">
        <v>256</v>
      </c>
      <c r="G57" s="8">
        <v>2.54</v>
      </c>
      <c r="H57" s="26">
        <v>44652</v>
      </c>
    </row>
    <row r="58" spans="1:8" ht="12.75" x14ac:dyDescent="0.2">
      <c r="A58" s="11" t="s">
        <v>60</v>
      </c>
      <c r="B58" s="12">
        <v>81</v>
      </c>
      <c r="C58" s="12">
        <v>72</v>
      </c>
      <c r="D58" s="12">
        <v>55</v>
      </c>
      <c r="E58" s="10">
        <v>66.599999999999994</v>
      </c>
      <c r="F58" s="12" t="s">
        <v>256</v>
      </c>
      <c r="G58" s="8">
        <v>2.3199999999999998</v>
      </c>
      <c r="H58" s="26">
        <v>44652</v>
      </c>
    </row>
    <row r="59" spans="1:8" ht="12.75" x14ac:dyDescent="0.2">
      <c r="A59" s="11" t="s">
        <v>61</v>
      </c>
      <c r="B59" s="12">
        <v>60</v>
      </c>
      <c r="C59" s="12">
        <v>57</v>
      </c>
      <c r="D59" s="12">
        <v>53</v>
      </c>
      <c r="E59" s="10">
        <v>55.95</v>
      </c>
      <c r="F59" s="12" t="s">
        <v>256</v>
      </c>
      <c r="G59" s="8">
        <v>2.27</v>
      </c>
      <c r="H59" s="26">
        <v>44652</v>
      </c>
    </row>
    <row r="60" spans="1:8" ht="18" customHeight="1" x14ac:dyDescent="0.2">
      <c r="A60" s="11" t="s">
        <v>62</v>
      </c>
      <c r="B60" s="12">
        <v>73</v>
      </c>
      <c r="C60" s="12">
        <v>70</v>
      </c>
      <c r="D60" s="12">
        <v>45</v>
      </c>
      <c r="E60" s="10">
        <v>59.5</v>
      </c>
      <c r="F60" s="12" t="s">
        <v>256</v>
      </c>
      <c r="G60" s="8">
        <v>2.14</v>
      </c>
      <c r="H60" s="26">
        <v>44652</v>
      </c>
    </row>
    <row r="61" spans="1:8" ht="12.75" x14ac:dyDescent="0.2">
      <c r="A61" s="9" t="s">
        <v>64</v>
      </c>
      <c r="B61" s="6">
        <v>83</v>
      </c>
      <c r="C61" s="6">
        <v>82</v>
      </c>
      <c r="D61" s="6">
        <v>78</v>
      </c>
      <c r="E61" s="7">
        <v>80.45</v>
      </c>
      <c r="F61" s="8" t="str">
        <f t="shared" ref="F61:F76" si="1">IF(E61&gt;=70,"PASSED", "---")</f>
        <v>PASSED</v>
      </c>
      <c r="G61" s="20">
        <v>1.7</v>
      </c>
      <c r="H61" s="25">
        <v>44805</v>
      </c>
    </row>
    <row r="62" spans="1:8" ht="15" x14ac:dyDescent="0.25">
      <c r="A62" s="5" t="s">
        <v>66</v>
      </c>
      <c r="B62" s="13">
        <v>82</v>
      </c>
      <c r="C62" s="13">
        <v>80</v>
      </c>
      <c r="D62" s="13">
        <v>83</v>
      </c>
      <c r="E62" s="7">
        <v>81.849999999999994</v>
      </c>
      <c r="F62" s="8" t="str">
        <f t="shared" si="1"/>
        <v>PASSED</v>
      </c>
      <c r="G62" s="20">
        <v>1.76</v>
      </c>
      <c r="H62" s="25">
        <v>44805</v>
      </c>
    </row>
    <row r="63" spans="1:8" ht="15" x14ac:dyDescent="0.25">
      <c r="A63" s="5" t="s">
        <v>68</v>
      </c>
      <c r="B63" s="13">
        <v>77</v>
      </c>
      <c r="C63" s="13">
        <v>69</v>
      </c>
      <c r="D63" s="13">
        <v>73</v>
      </c>
      <c r="E63" s="7">
        <v>72.8</v>
      </c>
      <c r="F63" s="8" t="str">
        <f t="shared" si="1"/>
        <v>PASSED</v>
      </c>
      <c r="G63" s="20">
        <v>2.31</v>
      </c>
      <c r="H63" s="25">
        <v>44805</v>
      </c>
    </row>
    <row r="64" spans="1:8" ht="15" x14ac:dyDescent="0.25">
      <c r="A64" s="5" t="s">
        <v>69</v>
      </c>
      <c r="B64" s="13">
        <v>74</v>
      </c>
      <c r="C64" s="13">
        <v>75</v>
      </c>
      <c r="D64" s="13">
        <v>71</v>
      </c>
      <c r="E64" s="7">
        <v>72.95</v>
      </c>
      <c r="F64" s="8" t="str">
        <f t="shared" si="1"/>
        <v>PASSED</v>
      </c>
      <c r="G64" s="20">
        <v>2.52</v>
      </c>
      <c r="H64" s="25">
        <v>44805</v>
      </c>
    </row>
    <row r="65" spans="1:8" ht="15" x14ac:dyDescent="0.25">
      <c r="A65" s="5" t="s">
        <v>70</v>
      </c>
      <c r="B65" s="13">
        <v>70</v>
      </c>
      <c r="C65" s="13">
        <v>70</v>
      </c>
      <c r="D65" s="13">
        <v>70</v>
      </c>
      <c r="E65" s="7">
        <v>70</v>
      </c>
      <c r="F65" s="8" t="str">
        <f t="shared" si="1"/>
        <v>PASSED</v>
      </c>
      <c r="G65" s="20">
        <v>2.31</v>
      </c>
      <c r="H65" s="25">
        <v>44805</v>
      </c>
    </row>
    <row r="66" spans="1:8" ht="12.75" x14ac:dyDescent="0.2">
      <c r="A66" s="9" t="s">
        <v>72</v>
      </c>
      <c r="B66" s="6">
        <v>80</v>
      </c>
      <c r="C66" s="6">
        <v>81</v>
      </c>
      <c r="D66" s="6">
        <v>80</v>
      </c>
      <c r="E66" s="7">
        <v>80.3</v>
      </c>
      <c r="F66" s="8" t="str">
        <f t="shared" si="1"/>
        <v>PASSED</v>
      </c>
      <c r="G66" s="20">
        <v>1.8721000000000001</v>
      </c>
      <c r="H66" s="25">
        <v>44805</v>
      </c>
    </row>
    <row r="67" spans="1:8" ht="12.75" x14ac:dyDescent="0.2">
      <c r="A67" s="9" t="s">
        <v>74</v>
      </c>
      <c r="B67" s="6">
        <v>76</v>
      </c>
      <c r="C67" s="6">
        <v>69</v>
      </c>
      <c r="D67" s="6">
        <v>70</v>
      </c>
      <c r="E67" s="7">
        <v>70.7</v>
      </c>
      <c r="F67" s="8" t="str">
        <f t="shared" si="1"/>
        <v>PASSED</v>
      </c>
      <c r="G67" s="20">
        <v>1.982</v>
      </c>
      <c r="H67" s="25">
        <v>44805</v>
      </c>
    </row>
    <row r="68" spans="1:8" ht="12.75" x14ac:dyDescent="0.2">
      <c r="A68" s="9" t="s">
        <v>75</v>
      </c>
      <c r="B68" s="6">
        <v>78</v>
      </c>
      <c r="C68" s="6">
        <v>79</v>
      </c>
      <c r="D68" s="6">
        <v>75</v>
      </c>
      <c r="E68" s="7">
        <v>76.95</v>
      </c>
      <c r="F68" s="8" t="str">
        <f t="shared" si="1"/>
        <v>PASSED</v>
      </c>
      <c r="G68" s="20">
        <v>2.1398999999999999</v>
      </c>
      <c r="H68" s="25">
        <v>44805</v>
      </c>
    </row>
    <row r="69" spans="1:8" ht="14.25" x14ac:dyDescent="0.2">
      <c r="A69" s="14" t="s">
        <v>76</v>
      </c>
      <c r="B69" s="6">
        <v>87</v>
      </c>
      <c r="C69" s="6">
        <v>80</v>
      </c>
      <c r="D69" s="6">
        <v>72</v>
      </c>
      <c r="E69" s="7">
        <v>78.150000000000006</v>
      </c>
      <c r="F69" s="8" t="str">
        <f t="shared" si="1"/>
        <v>PASSED</v>
      </c>
      <c r="G69" s="20">
        <v>2.0499999999999998</v>
      </c>
      <c r="H69" s="25">
        <v>44805</v>
      </c>
    </row>
    <row r="70" spans="1:8" ht="14.25" x14ac:dyDescent="0.2">
      <c r="A70" s="14" t="s">
        <v>78</v>
      </c>
      <c r="B70" s="6">
        <v>83</v>
      </c>
      <c r="C70" s="6">
        <v>77</v>
      </c>
      <c r="D70" s="6">
        <v>74</v>
      </c>
      <c r="E70" s="7">
        <v>77.150000000000006</v>
      </c>
      <c r="F70" s="8" t="str">
        <f t="shared" si="1"/>
        <v>PASSED</v>
      </c>
      <c r="G70" s="20">
        <v>2.04</v>
      </c>
      <c r="H70" s="25">
        <v>44805</v>
      </c>
    </row>
    <row r="71" spans="1:8" ht="12.75" x14ac:dyDescent="0.2">
      <c r="A71" s="9" t="s">
        <v>79</v>
      </c>
      <c r="B71" s="6">
        <v>77</v>
      </c>
      <c r="C71" s="6">
        <v>76</v>
      </c>
      <c r="D71" s="6">
        <v>83</v>
      </c>
      <c r="E71" s="7">
        <v>78.400000000000006</v>
      </c>
      <c r="F71" s="8" t="str">
        <f t="shared" si="1"/>
        <v>PASSED</v>
      </c>
      <c r="G71" s="20">
        <v>2.06</v>
      </c>
      <c r="H71" s="25">
        <v>44805</v>
      </c>
    </row>
    <row r="72" spans="1:8" ht="12.75" x14ac:dyDescent="0.2">
      <c r="A72" s="11" t="s">
        <v>80</v>
      </c>
      <c r="B72" s="12">
        <v>70</v>
      </c>
      <c r="C72" s="12">
        <v>70</v>
      </c>
      <c r="D72" s="12">
        <v>70</v>
      </c>
      <c r="E72" s="7">
        <v>70</v>
      </c>
      <c r="F72" s="8" t="str">
        <f t="shared" si="1"/>
        <v>PASSED</v>
      </c>
      <c r="G72" s="8">
        <v>2.2400000000000002</v>
      </c>
      <c r="H72" s="26">
        <v>44805</v>
      </c>
    </row>
    <row r="73" spans="1:8" ht="12.75" x14ac:dyDescent="0.2">
      <c r="A73" s="11" t="s">
        <v>81</v>
      </c>
      <c r="B73" s="12">
        <v>84</v>
      </c>
      <c r="C73" s="12">
        <v>78</v>
      </c>
      <c r="D73" s="12">
        <v>78</v>
      </c>
      <c r="E73" s="7">
        <v>79.5</v>
      </c>
      <c r="F73" s="8" t="str">
        <f t="shared" si="1"/>
        <v>PASSED</v>
      </c>
      <c r="G73" s="8">
        <v>2.25</v>
      </c>
      <c r="H73" s="26">
        <v>44805</v>
      </c>
    </row>
    <row r="74" spans="1:8" ht="12.75" x14ac:dyDescent="0.2">
      <c r="A74" s="11" t="s">
        <v>83</v>
      </c>
      <c r="B74" s="12">
        <v>84</v>
      </c>
      <c r="C74" s="12">
        <v>81</v>
      </c>
      <c r="D74" s="12">
        <v>77</v>
      </c>
      <c r="E74" s="7">
        <v>79.95</v>
      </c>
      <c r="F74" s="8" t="str">
        <f t="shared" si="1"/>
        <v>PASSED</v>
      </c>
      <c r="G74" s="8">
        <v>2.2599999999999998</v>
      </c>
      <c r="H74" s="26">
        <v>44805</v>
      </c>
    </row>
    <row r="75" spans="1:8" ht="12.75" x14ac:dyDescent="0.2">
      <c r="A75" s="11" t="s">
        <v>85</v>
      </c>
      <c r="B75" s="12">
        <v>81</v>
      </c>
      <c r="C75" s="12">
        <v>76</v>
      </c>
      <c r="D75" s="12">
        <v>75</v>
      </c>
      <c r="E75" s="7">
        <v>76.8</v>
      </c>
      <c r="F75" s="8" t="str">
        <f t="shared" si="1"/>
        <v>PASSED</v>
      </c>
      <c r="G75" s="8">
        <v>2.31</v>
      </c>
      <c r="H75" s="26">
        <v>44805</v>
      </c>
    </row>
    <row r="76" spans="1:8" ht="12.75" x14ac:dyDescent="0.2">
      <c r="A76" s="11" t="s">
        <v>63</v>
      </c>
      <c r="B76" s="12">
        <v>80</v>
      </c>
      <c r="C76" s="12">
        <v>79</v>
      </c>
      <c r="D76" s="12">
        <v>75</v>
      </c>
      <c r="E76" s="7">
        <v>77.45</v>
      </c>
      <c r="F76" s="8" t="str">
        <f t="shared" si="1"/>
        <v>PASSED</v>
      </c>
      <c r="G76" s="8">
        <v>2.2200000000000002</v>
      </c>
      <c r="H76" s="26">
        <v>44805</v>
      </c>
    </row>
    <row r="77" spans="1:8" ht="15" x14ac:dyDescent="0.25">
      <c r="A77" s="5" t="s">
        <v>65</v>
      </c>
      <c r="B77" s="13">
        <v>64</v>
      </c>
      <c r="C77" s="13">
        <v>66</v>
      </c>
      <c r="D77" s="13">
        <v>53</v>
      </c>
      <c r="E77" s="10">
        <v>59.65</v>
      </c>
      <c r="F77" s="8" t="s">
        <v>256</v>
      </c>
      <c r="G77" s="20">
        <v>2.4203999999999999</v>
      </c>
      <c r="H77" s="25">
        <v>44805</v>
      </c>
    </row>
    <row r="78" spans="1:8" ht="15" x14ac:dyDescent="0.25">
      <c r="A78" s="5" t="s">
        <v>67</v>
      </c>
      <c r="B78" s="13">
        <v>69</v>
      </c>
      <c r="C78" s="13">
        <v>59</v>
      </c>
      <c r="D78" s="13">
        <v>48</v>
      </c>
      <c r="E78" s="10">
        <v>56.55</v>
      </c>
      <c r="F78" s="8" t="s">
        <v>256</v>
      </c>
      <c r="G78" s="20">
        <v>2.1419999999999999</v>
      </c>
      <c r="H78" s="25">
        <v>44805</v>
      </c>
    </row>
    <row r="79" spans="1:8" ht="15" x14ac:dyDescent="0.25">
      <c r="A79" s="5" t="s">
        <v>71</v>
      </c>
      <c r="B79" s="13">
        <v>77</v>
      </c>
      <c r="C79" s="13">
        <v>70</v>
      </c>
      <c r="D79" s="13">
        <v>56</v>
      </c>
      <c r="E79" s="10">
        <v>65.45</v>
      </c>
      <c r="F79" s="8" t="s">
        <v>256</v>
      </c>
      <c r="G79" s="20">
        <v>2.012</v>
      </c>
      <c r="H79" s="25">
        <v>44805</v>
      </c>
    </row>
    <row r="80" spans="1:8" ht="15" x14ac:dyDescent="0.25">
      <c r="A80" s="5" t="s">
        <v>73</v>
      </c>
      <c r="B80" s="13">
        <v>70</v>
      </c>
      <c r="C80" s="13">
        <v>75</v>
      </c>
      <c r="D80" s="13">
        <v>53</v>
      </c>
      <c r="E80" s="10">
        <v>63.85</v>
      </c>
      <c r="F80" s="8" t="s">
        <v>256</v>
      </c>
      <c r="G80" s="20">
        <v>2.1829999999999998</v>
      </c>
      <c r="H80" s="25">
        <v>44805</v>
      </c>
    </row>
    <row r="81" spans="1:8" ht="15" x14ac:dyDescent="0.25">
      <c r="A81" s="5" t="s">
        <v>77</v>
      </c>
      <c r="B81" s="13">
        <v>59</v>
      </c>
      <c r="C81" s="13">
        <v>64</v>
      </c>
      <c r="D81" s="13">
        <v>62</v>
      </c>
      <c r="E81" s="10">
        <v>61.85</v>
      </c>
      <c r="F81" s="8" t="s">
        <v>256</v>
      </c>
      <c r="G81" s="20">
        <v>2.41</v>
      </c>
      <c r="H81" s="25">
        <v>44805</v>
      </c>
    </row>
    <row r="82" spans="1:8" ht="12.75" x14ac:dyDescent="0.2">
      <c r="A82" s="9" t="s">
        <v>82</v>
      </c>
      <c r="B82" s="6">
        <v>75</v>
      </c>
      <c r="C82" s="6">
        <v>72</v>
      </c>
      <c r="D82" s="6">
        <v>55</v>
      </c>
      <c r="E82" s="10">
        <v>65.099999999999994</v>
      </c>
      <c r="F82" s="8" t="s">
        <v>256</v>
      </c>
      <c r="G82" s="20">
        <v>2.2410000000000001</v>
      </c>
      <c r="H82" s="25">
        <v>44805</v>
      </c>
    </row>
    <row r="83" spans="1:8" ht="12.75" x14ac:dyDescent="0.2">
      <c r="A83" s="9" t="s">
        <v>84</v>
      </c>
      <c r="B83" s="6">
        <v>67</v>
      </c>
      <c r="C83" s="6">
        <v>59</v>
      </c>
      <c r="D83" s="6">
        <v>56</v>
      </c>
      <c r="E83" s="10">
        <v>59.65</v>
      </c>
      <c r="F83" s="8" t="s">
        <v>256</v>
      </c>
      <c r="G83" s="20">
        <v>2.3199999999999998</v>
      </c>
      <c r="H83" s="25">
        <v>44805</v>
      </c>
    </row>
    <row r="84" spans="1:8" ht="15" x14ac:dyDescent="0.25">
      <c r="A84" s="14" t="s">
        <v>86</v>
      </c>
      <c r="B84" s="15">
        <v>72</v>
      </c>
      <c r="C84" s="16">
        <v>69</v>
      </c>
      <c r="D84" s="16">
        <v>59</v>
      </c>
      <c r="E84" s="17">
        <v>65.25</v>
      </c>
      <c r="F84" s="8" t="s">
        <v>256</v>
      </c>
      <c r="G84" s="20">
        <v>2.2799999999999998</v>
      </c>
      <c r="H84" s="25">
        <v>44805</v>
      </c>
    </row>
    <row r="85" spans="1:8" ht="12.75" x14ac:dyDescent="0.2">
      <c r="A85" s="9" t="s">
        <v>87</v>
      </c>
      <c r="B85" s="6">
        <v>71</v>
      </c>
      <c r="C85" s="6">
        <v>71</v>
      </c>
      <c r="D85" s="6">
        <v>56</v>
      </c>
      <c r="E85" s="10">
        <v>64.25</v>
      </c>
      <c r="F85" s="8" t="s">
        <v>256</v>
      </c>
      <c r="G85" s="20">
        <v>2.9756999999999998</v>
      </c>
      <c r="H85" s="25">
        <v>44805</v>
      </c>
    </row>
    <row r="86" spans="1:8" ht="12.75" x14ac:dyDescent="0.2">
      <c r="A86" s="9" t="s">
        <v>88</v>
      </c>
      <c r="B86" s="6">
        <v>49</v>
      </c>
      <c r="C86" s="6">
        <v>56</v>
      </c>
      <c r="D86" s="6">
        <v>38</v>
      </c>
      <c r="E86" s="10">
        <v>46.15</v>
      </c>
      <c r="F86" s="8" t="s">
        <v>256</v>
      </c>
      <c r="G86" s="20">
        <v>2.4500000000000002</v>
      </c>
      <c r="H86" s="25">
        <v>44805</v>
      </c>
    </row>
    <row r="87" spans="1:8" ht="15" x14ac:dyDescent="0.25">
      <c r="A87" s="9" t="s">
        <v>89</v>
      </c>
      <c r="B87" s="6">
        <v>62</v>
      </c>
      <c r="C87" s="6">
        <v>42</v>
      </c>
      <c r="D87" s="6">
        <v>42</v>
      </c>
      <c r="E87" s="10">
        <v>47</v>
      </c>
      <c r="F87" s="8" t="s">
        <v>256</v>
      </c>
      <c r="G87" s="22">
        <v>1.3277000000000001</v>
      </c>
      <c r="H87" s="25">
        <v>44805</v>
      </c>
    </row>
    <row r="88" spans="1:8" ht="12.75" x14ac:dyDescent="0.2">
      <c r="A88" s="9" t="s">
        <v>90</v>
      </c>
      <c r="B88" s="6">
        <v>59</v>
      </c>
      <c r="C88" s="6">
        <v>62</v>
      </c>
      <c r="D88" s="6">
        <v>55</v>
      </c>
      <c r="E88" s="10">
        <v>58.1</v>
      </c>
      <c r="F88" s="8" t="s">
        <v>256</v>
      </c>
      <c r="G88" s="20">
        <v>2.4941</v>
      </c>
      <c r="H88" s="25">
        <v>44805</v>
      </c>
    </row>
    <row r="89" spans="1:8" ht="12.75" x14ac:dyDescent="0.2">
      <c r="A89" s="9" t="s">
        <v>91</v>
      </c>
      <c r="B89" s="6">
        <v>75</v>
      </c>
      <c r="C89" s="6">
        <v>66</v>
      </c>
      <c r="D89" s="6">
        <v>53</v>
      </c>
      <c r="E89" s="10">
        <v>62.4</v>
      </c>
      <c r="F89" s="8" t="s">
        <v>256</v>
      </c>
      <c r="G89" s="20">
        <v>2.31</v>
      </c>
      <c r="H89" s="25">
        <v>44805</v>
      </c>
    </row>
    <row r="90" spans="1:8" ht="12.75" x14ac:dyDescent="0.2">
      <c r="A90" s="9" t="s">
        <v>92</v>
      </c>
      <c r="B90" s="6">
        <v>69</v>
      </c>
      <c r="C90" s="6">
        <v>62</v>
      </c>
      <c r="D90" s="6">
        <v>49</v>
      </c>
      <c r="E90" s="10">
        <v>57.9</v>
      </c>
      <c r="F90" s="8" t="s">
        <v>256</v>
      </c>
      <c r="G90" s="20">
        <v>2.4</v>
      </c>
      <c r="H90" s="25">
        <v>44805</v>
      </c>
    </row>
    <row r="91" spans="1:8" ht="12.75" x14ac:dyDescent="0.2">
      <c r="A91" s="9" t="s">
        <v>93</v>
      </c>
      <c r="B91" s="6">
        <v>72</v>
      </c>
      <c r="C91" s="6">
        <v>72</v>
      </c>
      <c r="D91" s="6">
        <v>62</v>
      </c>
      <c r="E91" s="10">
        <v>67.5</v>
      </c>
      <c r="F91" s="8" t="s">
        <v>256</v>
      </c>
      <c r="G91" s="20">
        <v>2.44</v>
      </c>
      <c r="H91" s="25">
        <v>44805</v>
      </c>
    </row>
    <row r="92" spans="1:8" ht="15" x14ac:dyDescent="0.25">
      <c r="A92" s="9" t="s">
        <v>94</v>
      </c>
      <c r="B92" s="6">
        <v>57</v>
      </c>
      <c r="C92" s="6">
        <v>59</v>
      </c>
      <c r="D92" s="6">
        <v>46</v>
      </c>
      <c r="E92" s="10">
        <v>52.65</v>
      </c>
      <c r="F92" s="8" t="s">
        <v>256</v>
      </c>
      <c r="G92" s="22">
        <v>1.8088</v>
      </c>
      <c r="H92" s="25">
        <v>44805</v>
      </c>
    </row>
    <row r="93" spans="1:8" ht="12.75" x14ac:dyDescent="0.2">
      <c r="A93" s="9" t="s">
        <v>95</v>
      </c>
      <c r="B93" s="6">
        <v>64</v>
      </c>
      <c r="C93" s="6">
        <v>56</v>
      </c>
      <c r="D93" s="6">
        <v>46</v>
      </c>
      <c r="E93" s="10">
        <v>53.5</v>
      </c>
      <c r="F93" s="8" t="s">
        <v>256</v>
      </c>
      <c r="G93" s="20">
        <v>2.379</v>
      </c>
      <c r="H93" s="25">
        <v>44805</v>
      </c>
    </row>
    <row r="94" spans="1:8" ht="12.75" x14ac:dyDescent="0.2">
      <c r="A94" s="9" t="s">
        <v>96</v>
      </c>
      <c r="B94" s="6">
        <v>42</v>
      </c>
      <c r="C94" s="6">
        <v>50</v>
      </c>
      <c r="D94" s="6">
        <v>46</v>
      </c>
      <c r="E94" s="10">
        <v>46.2</v>
      </c>
      <c r="F94" s="8" t="s">
        <v>256</v>
      </c>
      <c r="G94" s="20">
        <v>2.5</v>
      </c>
      <c r="H94" s="25">
        <v>44805</v>
      </c>
    </row>
    <row r="95" spans="1:8" ht="12.75" x14ac:dyDescent="0.2">
      <c r="A95" s="9" t="s">
        <v>97</v>
      </c>
      <c r="B95" s="6">
        <v>64</v>
      </c>
      <c r="C95" s="6">
        <v>70</v>
      </c>
      <c r="D95" s="6">
        <v>53</v>
      </c>
      <c r="E95" s="10">
        <v>60.85</v>
      </c>
      <c r="F95" s="8" t="s">
        <v>256</v>
      </c>
      <c r="G95" s="20">
        <v>2.33</v>
      </c>
      <c r="H95" s="25">
        <v>44805</v>
      </c>
    </row>
    <row r="96" spans="1:8" ht="12.75" x14ac:dyDescent="0.2">
      <c r="A96" s="11" t="s">
        <v>98</v>
      </c>
      <c r="B96" s="12">
        <v>64</v>
      </c>
      <c r="C96" s="12">
        <v>49</v>
      </c>
      <c r="D96" s="12">
        <v>55</v>
      </c>
      <c r="E96" s="10">
        <v>55.45</v>
      </c>
      <c r="F96" s="8" t="s">
        <v>256</v>
      </c>
      <c r="G96" s="8">
        <v>2.34</v>
      </c>
      <c r="H96" s="26">
        <v>44805</v>
      </c>
    </row>
    <row r="97" spans="1:8" ht="12.75" x14ac:dyDescent="0.2">
      <c r="A97" s="11" t="s">
        <v>99</v>
      </c>
      <c r="B97" s="12">
        <v>69</v>
      </c>
      <c r="C97" s="12">
        <v>66</v>
      </c>
      <c r="D97" s="12">
        <v>53</v>
      </c>
      <c r="E97" s="10">
        <v>60.9</v>
      </c>
      <c r="F97" s="8" t="s">
        <v>256</v>
      </c>
      <c r="G97" s="8">
        <v>2.46</v>
      </c>
      <c r="H97" s="26">
        <v>44805</v>
      </c>
    </row>
    <row r="98" spans="1:8" ht="12.75" x14ac:dyDescent="0.2">
      <c r="A98" s="11" t="s">
        <v>100</v>
      </c>
      <c r="B98" s="12">
        <v>72</v>
      </c>
      <c r="C98" s="12">
        <v>72</v>
      </c>
      <c r="D98" s="12">
        <v>57</v>
      </c>
      <c r="E98" s="10">
        <v>65.25</v>
      </c>
      <c r="F98" s="8" t="s">
        <v>256</v>
      </c>
      <c r="G98" s="8">
        <v>2.36</v>
      </c>
      <c r="H98" s="26">
        <v>44805</v>
      </c>
    </row>
    <row r="99" spans="1:8" ht="12.75" x14ac:dyDescent="0.2">
      <c r="A99" s="11" t="s">
        <v>61</v>
      </c>
      <c r="B99" s="12">
        <v>67</v>
      </c>
      <c r="C99" s="12">
        <v>69</v>
      </c>
      <c r="D99" s="12">
        <v>53</v>
      </c>
      <c r="E99" s="10">
        <v>61.3</v>
      </c>
      <c r="F99" s="8" t="s">
        <v>256</v>
      </c>
      <c r="G99" s="8">
        <v>2.27</v>
      </c>
      <c r="H99" s="26">
        <v>44805</v>
      </c>
    </row>
    <row r="100" spans="1:8" ht="12.75" x14ac:dyDescent="0.2">
      <c r="A100" s="11" t="s">
        <v>101</v>
      </c>
      <c r="B100" s="12">
        <v>70</v>
      </c>
      <c r="C100" s="12">
        <v>66</v>
      </c>
      <c r="D100" s="12">
        <v>63</v>
      </c>
      <c r="E100" s="10">
        <v>65.650000000000006</v>
      </c>
      <c r="F100" s="8" t="s">
        <v>256</v>
      </c>
      <c r="G100" s="8">
        <v>2.57</v>
      </c>
      <c r="H100" s="26">
        <v>44805</v>
      </c>
    </row>
    <row r="101" spans="1:8" ht="12.75" x14ac:dyDescent="0.2">
      <c r="A101" s="11" t="s">
        <v>102</v>
      </c>
      <c r="B101" s="12">
        <v>64</v>
      </c>
      <c r="C101" s="12">
        <v>64</v>
      </c>
      <c r="D101" s="12">
        <v>52</v>
      </c>
      <c r="E101" s="10">
        <v>58.6</v>
      </c>
      <c r="F101" s="8" t="s">
        <v>256</v>
      </c>
      <c r="G101" s="8">
        <v>2.41</v>
      </c>
      <c r="H101" s="26">
        <v>44805</v>
      </c>
    </row>
    <row r="102" spans="1:8" ht="12.75" x14ac:dyDescent="0.2">
      <c r="A102" s="11" t="s">
        <v>103</v>
      </c>
      <c r="B102" s="12">
        <v>71</v>
      </c>
      <c r="C102" s="12">
        <v>71</v>
      </c>
      <c r="D102" s="12">
        <v>60</v>
      </c>
      <c r="E102" s="10">
        <v>66.05</v>
      </c>
      <c r="F102" s="8" t="s">
        <v>256</v>
      </c>
      <c r="G102" s="8">
        <v>2.25</v>
      </c>
      <c r="H102" s="26">
        <v>44805</v>
      </c>
    </row>
    <row r="103" spans="1:8" ht="12.75" x14ac:dyDescent="0.2">
      <c r="A103" s="11" t="s">
        <v>104</v>
      </c>
      <c r="B103" s="12">
        <v>80</v>
      </c>
      <c r="C103" s="12">
        <v>71</v>
      </c>
      <c r="D103" s="12">
        <v>53</v>
      </c>
      <c r="E103" s="10">
        <v>65.150000000000006</v>
      </c>
      <c r="F103" s="8" t="s">
        <v>256</v>
      </c>
      <c r="G103" s="8">
        <v>2.4900000000000002</v>
      </c>
      <c r="H103" s="26">
        <v>44805</v>
      </c>
    </row>
    <row r="104" spans="1:8" ht="12.75" x14ac:dyDescent="0.2">
      <c r="A104" s="11" t="s">
        <v>105</v>
      </c>
      <c r="B104" s="12">
        <v>71</v>
      </c>
      <c r="C104" s="12">
        <v>55</v>
      </c>
      <c r="D104" s="12">
        <v>56</v>
      </c>
      <c r="E104" s="10">
        <v>59.45</v>
      </c>
      <c r="F104" s="8" t="s">
        <v>256</v>
      </c>
      <c r="G104" s="8">
        <v>2.29</v>
      </c>
      <c r="H104" s="26">
        <v>44805</v>
      </c>
    </row>
    <row r="105" spans="1:8" ht="15" x14ac:dyDescent="0.25">
      <c r="A105" s="9" t="s">
        <v>108</v>
      </c>
      <c r="B105" s="6">
        <v>74</v>
      </c>
      <c r="C105" s="6">
        <v>74</v>
      </c>
      <c r="D105" s="6">
        <v>76</v>
      </c>
      <c r="E105" s="7">
        <v>74.900000000000006</v>
      </c>
      <c r="F105" s="24" t="str">
        <f t="shared" ref="F105:F135" si="2">IF(E105&gt;=70,"PASSED", "---")</f>
        <v>PASSED</v>
      </c>
      <c r="G105" s="22">
        <v>1.7089000000000001</v>
      </c>
      <c r="H105" s="25">
        <v>45017</v>
      </c>
    </row>
    <row r="106" spans="1:8" ht="15" x14ac:dyDescent="0.25">
      <c r="A106" s="9" t="s">
        <v>109</v>
      </c>
      <c r="B106" s="6">
        <v>87</v>
      </c>
      <c r="C106" s="6">
        <v>80</v>
      </c>
      <c r="D106" s="6">
        <v>88</v>
      </c>
      <c r="E106" s="7">
        <v>85.35</v>
      </c>
      <c r="F106" s="24" t="str">
        <f t="shared" si="2"/>
        <v>PASSED</v>
      </c>
      <c r="G106" s="22">
        <v>1.653</v>
      </c>
      <c r="H106" s="25">
        <v>45017</v>
      </c>
    </row>
    <row r="107" spans="1:8" ht="15" x14ac:dyDescent="0.25">
      <c r="A107" s="9" t="s">
        <v>110</v>
      </c>
      <c r="B107" s="6">
        <v>86</v>
      </c>
      <c r="C107" s="6">
        <v>80</v>
      </c>
      <c r="D107" s="6">
        <v>80</v>
      </c>
      <c r="E107" s="7">
        <v>81.5</v>
      </c>
      <c r="F107" s="24" t="str">
        <f t="shared" si="2"/>
        <v>PASSED</v>
      </c>
      <c r="G107" s="22">
        <v>1.7838000000000001</v>
      </c>
      <c r="H107" s="25">
        <v>45017</v>
      </c>
    </row>
    <row r="108" spans="1:8" ht="15" x14ac:dyDescent="0.25">
      <c r="A108" s="9" t="s">
        <v>111</v>
      </c>
      <c r="B108" s="6">
        <v>87</v>
      </c>
      <c r="C108" s="6">
        <v>82</v>
      </c>
      <c r="D108" s="6">
        <v>91</v>
      </c>
      <c r="E108" s="7">
        <v>87.3</v>
      </c>
      <c r="F108" s="24" t="str">
        <f t="shared" si="2"/>
        <v>PASSED</v>
      </c>
      <c r="G108" s="22">
        <v>1.2338</v>
      </c>
      <c r="H108" s="25">
        <v>45017</v>
      </c>
    </row>
    <row r="109" spans="1:8" ht="15" x14ac:dyDescent="0.25">
      <c r="A109" s="9" t="s">
        <v>112</v>
      </c>
      <c r="B109" s="6">
        <v>75</v>
      </c>
      <c r="C109" s="6">
        <v>73</v>
      </c>
      <c r="D109" s="6">
        <v>75</v>
      </c>
      <c r="E109" s="7">
        <v>74.400000000000006</v>
      </c>
      <c r="F109" s="24" t="str">
        <f t="shared" si="2"/>
        <v>PASSED</v>
      </c>
      <c r="G109" s="22">
        <v>1.6956</v>
      </c>
      <c r="H109" s="25">
        <v>45017</v>
      </c>
    </row>
    <row r="110" spans="1:8" ht="12.75" x14ac:dyDescent="0.2">
      <c r="A110" s="9" t="s">
        <v>113</v>
      </c>
      <c r="B110" s="6">
        <v>77</v>
      </c>
      <c r="C110" s="6">
        <v>70</v>
      </c>
      <c r="D110" s="6">
        <v>67</v>
      </c>
      <c r="E110" s="7">
        <v>70.400000000000006</v>
      </c>
      <c r="F110" s="24" t="str">
        <f t="shared" si="2"/>
        <v>PASSED</v>
      </c>
      <c r="G110" s="20">
        <v>1.7242</v>
      </c>
      <c r="H110" s="25">
        <v>45017</v>
      </c>
    </row>
    <row r="111" spans="1:8" ht="15" x14ac:dyDescent="0.25">
      <c r="A111" s="9" t="s">
        <v>114</v>
      </c>
      <c r="B111" s="6">
        <v>83</v>
      </c>
      <c r="C111" s="6">
        <v>80</v>
      </c>
      <c r="D111" s="6">
        <v>81</v>
      </c>
      <c r="E111" s="7">
        <v>81.2</v>
      </c>
      <c r="F111" s="24" t="str">
        <f t="shared" si="2"/>
        <v>PASSED</v>
      </c>
      <c r="G111" s="22">
        <v>1.9309000000000001</v>
      </c>
      <c r="H111" s="25">
        <v>45017</v>
      </c>
    </row>
    <row r="112" spans="1:8" ht="15" x14ac:dyDescent="0.25">
      <c r="A112" s="9" t="s">
        <v>115</v>
      </c>
      <c r="B112" s="6">
        <v>75</v>
      </c>
      <c r="C112" s="6">
        <v>71</v>
      </c>
      <c r="D112" s="6">
        <v>75</v>
      </c>
      <c r="E112" s="7">
        <v>73.8</v>
      </c>
      <c r="F112" s="24" t="str">
        <f t="shared" si="2"/>
        <v>PASSED</v>
      </c>
      <c r="G112" s="22">
        <v>1.7134</v>
      </c>
      <c r="H112" s="25">
        <v>45017</v>
      </c>
    </row>
    <row r="113" spans="1:8" ht="12.75" x14ac:dyDescent="0.2">
      <c r="A113" s="9" t="s">
        <v>117</v>
      </c>
      <c r="B113" s="6">
        <v>92</v>
      </c>
      <c r="C113" s="6">
        <v>84</v>
      </c>
      <c r="D113" s="6">
        <v>89</v>
      </c>
      <c r="E113" s="7">
        <v>88.25</v>
      </c>
      <c r="F113" s="24" t="str">
        <f t="shared" si="2"/>
        <v>PASSED</v>
      </c>
      <c r="G113" s="20">
        <v>1.56</v>
      </c>
      <c r="H113" s="25">
        <v>45017</v>
      </c>
    </row>
    <row r="114" spans="1:8" ht="15" x14ac:dyDescent="0.25">
      <c r="A114" s="11" t="s">
        <v>119</v>
      </c>
      <c r="B114" s="12">
        <v>70</v>
      </c>
      <c r="C114" s="12">
        <v>70</v>
      </c>
      <c r="D114" s="12">
        <v>70</v>
      </c>
      <c r="E114" s="7">
        <v>70</v>
      </c>
      <c r="F114" s="24" t="str">
        <f t="shared" si="2"/>
        <v>PASSED</v>
      </c>
      <c r="G114" s="23">
        <v>1.8399000000000001</v>
      </c>
      <c r="H114" s="26">
        <v>45017</v>
      </c>
    </row>
    <row r="115" spans="1:8" ht="12.75" x14ac:dyDescent="0.2">
      <c r="A115" s="11" t="s">
        <v>120</v>
      </c>
      <c r="B115" s="12">
        <v>78</v>
      </c>
      <c r="C115" s="12">
        <v>72</v>
      </c>
      <c r="D115" s="12">
        <v>78</v>
      </c>
      <c r="E115" s="7">
        <v>76.2</v>
      </c>
      <c r="F115" s="24" t="str">
        <f t="shared" si="2"/>
        <v>PASSED</v>
      </c>
      <c r="G115" s="8">
        <v>1.982</v>
      </c>
      <c r="H115" s="26">
        <v>45017</v>
      </c>
    </row>
    <row r="116" spans="1:8" ht="15" x14ac:dyDescent="0.25">
      <c r="A116" s="11" t="s">
        <v>122</v>
      </c>
      <c r="B116" s="12">
        <v>72</v>
      </c>
      <c r="C116" s="12">
        <v>71</v>
      </c>
      <c r="D116" s="12">
        <v>72</v>
      </c>
      <c r="E116" s="7">
        <v>71.7</v>
      </c>
      <c r="F116" s="24" t="str">
        <f t="shared" si="2"/>
        <v>PASSED</v>
      </c>
      <c r="G116" s="23">
        <v>1.9180999999999999</v>
      </c>
      <c r="H116" s="26">
        <v>45017</v>
      </c>
    </row>
    <row r="117" spans="1:8" ht="15" x14ac:dyDescent="0.25">
      <c r="A117" s="11" t="s">
        <v>123</v>
      </c>
      <c r="B117" s="12">
        <v>84</v>
      </c>
      <c r="C117" s="12">
        <v>71</v>
      </c>
      <c r="D117" s="12">
        <v>84</v>
      </c>
      <c r="E117" s="7">
        <v>80.099999999999994</v>
      </c>
      <c r="F117" s="24" t="str">
        <f t="shared" si="2"/>
        <v>PASSED</v>
      </c>
      <c r="G117" s="23">
        <v>1.7323</v>
      </c>
      <c r="H117" s="26">
        <v>45017</v>
      </c>
    </row>
    <row r="118" spans="1:8" ht="15" x14ac:dyDescent="0.25">
      <c r="A118" s="11" t="s">
        <v>125</v>
      </c>
      <c r="B118" s="12">
        <v>77</v>
      </c>
      <c r="C118" s="12">
        <v>71</v>
      </c>
      <c r="D118" s="12">
        <v>80</v>
      </c>
      <c r="E118" s="7">
        <v>76.55</v>
      </c>
      <c r="F118" s="24" t="str">
        <f t="shared" si="2"/>
        <v>PASSED</v>
      </c>
      <c r="G118" s="23">
        <v>2.1</v>
      </c>
      <c r="H118" s="26">
        <v>45017</v>
      </c>
    </row>
    <row r="119" spans="1:8" ht="15" x14ac:dyDescent="0.25">
      <c r="A119" s="11" t="s">
        <v>126</v>
      </c>
      <c r="B119" s="12">
        <v>70</v>
      </c>
      <c r="C119" s="12">
        <v>70</v>
      </c>
      <c r="D119" s="12">
        <v>70</v>
      </c>
      <c r="E119" s="7">
        <v>70</v>
      </c>
      <c r="F119" s="24" t="str">
        <f t="shared" si="2"/>
        <v>PASSED</v>
      </c>
      <c r="G119" s="22">
        <v>2.42</v>
      </c>
      <c r="H119" s="25">
        <v>45017</v>
      </c>
    </row>
    <row r="120" spans="1:8" ht="15" x14ac:dyDescent="0.25">
      <c r="A120" s="11" t="s">
        <v>127</v>
      </c>
      <c r="B120" s="12">
        <v>78</v>
      </c>
      <c r="C120" s="12">
        <v>66</v>
      </c>
      <c r="D120" s="12">
        <v>75</v>
      </c>
      <c r="E120" s="7">
        <v>73.05</v>
      </c>
      <c r="F120" s="24" t="str">
        <f t="shared" si="2"/>
        <v>PASSED</v>
      </c>
      <c r="G120" s="22">
        <v>1.6147</v>
      </c>
      <c r="H120" s="25">
        <v>45017</v>
      </c>
    </row>
    <row r="121" spans="1:8" ht="15" x14ac:dyDescent="0.25">
      <c r="A121" s="11" t="s">
        <v>129</v>
      </c>
      <c r="B121" s="12">
        <v>78</v>
      </c>
      <c r="C121" s="12">
        <v>66</v>
      </c>
      <c r="D121" s="12">
        <v>75</v>
      </c>
      <c r="E121" s="7">
        <v>73.05</v>
      </c>
      <c r="F121" s="24" t="str">
        <f t="shared" si="2"/>
        <v>PASSED</v>
      </c>
      <c r="G121" s="22">
        <v>1.9750000000000001</v>
      </c>
      <c r="H121" s="25">
        <v>45017</v>
      </c>
    </row>
    <row r="122" spans="1:8" ht="15" x14ac:dyDescent="0.25">
      <c r="A122" s="11" t="s">
        <v>130</v>
      </c>
      <c r="B122" s="12">
        <v>84</v>
      </c>
      <c r="C122" s="12">
        <v>80</v>
      </c>
      <c r="D122" s="12">
        <v>77</v>
      </c>
      <c r="E122" s="7">
        <v>79.650000000000006</v>
      </c>
      <c r="F122" s="24" t="str">
        <f t="shared" si="2"/>
        <v>PASSED</v>
      </c>
      <c r="G122" s="22">
        <v>1.6765000000000001</v>
      </c>
      <c r="H122" s="25">
        <v>45017</v>
      </c>
    </row>
    <row r="123" spans="1:8" ht="15" x14ac:dyDescent="0.25">
      <c r="A123" s="11" t="s">
        <v>131</v>
      </c>
      <c r="B123" s="12">
        <v>89</v>
      </c>
      <c r="C123" s="12">
        <v>83</v>
      </c>
      <c r="D123" s="12">
        <v>87</v>
      </c>
      <c r="E123" s="7">
        <v>86.3</v>
      </c>
      <c r="F123" s="24" t="str">
        <f t="shared" si="2"/>
        <v>PASSED</v>
      </c>
      <c r="G123" s="22">
        <v>1.6351</v>
      </c>
      <c r="H123" s="25">
        <v>45017</v>
      </c>
    </row>
    <row r="124" spans="1:8" ht="15" x14ac:dyDescent="0.25">
      <c r="A124" s="11" t="s">
        <v>132</v>
      </c>
      <c r="B124" s="12">
        <v>90</v>
      </c>
      <c r="C124" s="12">
        <v>84</v>
      </c>
      <c r="D124" s="12">
        <v>90</v>
      </c>
      <c r="E124" s="7">
        <v>88.2</v>
      </c>
      <c r="F124" s="24" t="str">
        <f t="shared" si="2"/>
        <v>PASSED</v>
      </c>
      <c r="G124" s="22">
        <v>1.5153000000000001</v>
      </c>
      <c r="H124" s="25">
        <v>45017</v>
      </c>
    </row>
    <row r="125" spans="1:8" ht="15" x14ac:dyDescent="0.25">
      <c r="A125" s="11" t="s">
        <v>133</v>
      </c>
      <c r="B125" s="12">
        <v>84</v>
      </c>
      <c r="C125" s="12">
        <v>81</v>
      </c>
      <c r="D125" s="12">
        <v>84</v>
      </c>
      <c r="E125" s="7">
        <v>83.1</v>
      </c>
      <c r="F125" s="24" t="str">
        <f t="shared" si="2"/>
        <v>PASSED</v>
      </c>
      <c r="G125" s="23">
        <v>1.99</v>
      </c>
      <c r="H125" s="26">
        <v>45017</v>
      </c>
    </row>
    <row r="126" spans="1:8" ht="15" x14ac:dyDescent="0.25">
      <c r="A126" s="11" t="s">
        <v>135</v>
      </c>
      <c r="B126" s="12">
        <v>79</v>
      </c>
      <c r="C126" s="12">
        <v>72</v>
      </c>
      <c r="D126" s="12">
        <v>72</v>
      </c>
      <c r="E126" s="7">
        <v>73.75</v>
      </c>
      <c r="F126" s="24" t="str">
        <f t="shared" si="2"/>
        <v>PASSED</v>
      </c>
      <c r="G126" s="23">
        <v>1.8856999999999999</v>
      </c>
      <c r="H126" s="26">
        <v>45017</v>
      </c>
    </row>
    <row r="127" spans="1:8" ht="15" x14ac:dyDescent="0.25">
      <c r="A127" s="11" t="s">
        <v>137</v>
      </c>
      <c r="B127" s="12">
        <v>76</v>
      </c>
      <c r="C127" s="12">
        <v>63</v>
      </c>
      <c r="D127" s="12">
        <v>73</v>
      </c>
      <c r="E127" s="7">
        <v>70.75</v>
      </c>
      <c r="F127" s="24" t="str">
        <f t="shared" si="2"/>
        <v>PASSED</v>
      </c>
      <c r="G127" s="23">
        <v>1.8382400000000001</v>
      </c>
      <c r="H127" s="26">
        <v>45017</v>
      </c>
    </row>
    <row r="128" spans="1:8" ht="15" x14ac:dyDescent="0.25">
      <c r="A128" s="11" t="s">
        <v>139</v>
      </c>
      <c r="B128" s="12">
        <v>71</v>
      </c>
      <c r="C128" s="12">
        <v>71</v>
      </c>
      <c r="D128" s="12">
        <v>77</v>
      </c>
      <c r="E128" s="7">
        <v>73.7</v>
      </c>
      <c r="F128" s="24" t="str">
        <f t="shared" si="2"/>
        <v>PASSED</v>
      </c>
      <c r="G128" s="23">
        <v>2</v>
      </c>
      <c r="H128" s="26">
        <v>45017</v>
      </c>
    </row>
    <row r="129" spans="1:8" ht="12.75" x14ac:dyDescent="0.2">
      <c r="A129" s="11" t="s">
        <v>140</v>
      </c>
      <c r="B129" s="12">
        <v>70</v>
      </c>
      <c r="C129" s="12">
        <v>70</v>
      </c>
      <c r="D129" s="12">
        <v>70</v>
      </c>
      <c r="E129" s="7">
        <v>70</v>
      </c>
      <c r="F129" s="24" t="str">
        <f t="shared" si="2"/>
        <v>PASSED</v>
      </c>
      <c r="G129" s="8">
        <v>1.867</v>
      </c>
      <c r="H129" s="26">
        <v>45017</v>
      </c>
    </row>
    <row r="130" spans="1:8" ht="15" x14ac:dyDescent="0.25">
      <c r="A130" s="11" t="s">
        <v>141</v>
      </c>
      <c r="B130" s="12">
        <v>74</v>
      </c>
      <c r="C130" s="12">
        <v>77</v>
      </c>
      <c r="D130" s="12">
        <v>73</v>
      </c>
      <c r="E130" s="7">
        <v>74.45</v>
      </c>
      <c r="F130" s="24" t="str">
        <f t="shared" si="2"/>
        <v>PASSED</v>
      </c>
      <c r="G130" s="23">
        <v>1.6201000000000001</v>
      </c>
      <c r="H130" s="26">
        <v>45017</v>
      </c>
    </row>
    <row r="131" spans="1:8" ht="15" x14ac:dyDescent="0.25">
      <c r="A131" s="11" t="s">
        <v>142</v>
      </c>
      <c r="B131" s="12">
        <v>81</v>
      </c>
      <c r="C131" s="12">
        <v>77</v>
      </c>
      <c r="D131" s="12">
        <v>82</v>
      </c>
      <c r="E131" s="7">
        <v>80.25</v>
      </c>
      <c r="F131" s="24" t="str">
        <f t="shared" si="2"/>
        <v>PASSED</v>
      </c>
      <c r="G131" s="22">
        <v>1.7869999999999999</v>
      </c>
      <c r="H131" s="25">
        <v>45017</v>
      </c>
    </row>
    <row r="132" spans="1:8" ht="15" x14ac:dyDescent="0.25">
      <c r="A132" s="11" t="s">
        <v>144</v>
      </c>
      <c r="B132" s="12">
        <v>80</v>
      </c>
      <c r="C132" s="12">
        <v>77</v>
      </c>
      <c r="D132" s="12">
        <v>75</v>
      </c>
      <c r="E132" s="7">
        <v>76.849999999999994</v>
      </c>
      <c r="F132" s="24" t="str">
        <f t="shared" si="2"/>
        <v>PASSED</v>
      </c>
      <c r="G132" s="22">
        <v>1.6191</v>
      </c>
      <c r="H132" s="25">
        <v>45017</v>
      </c>
    </row>
    <row r="133" spans="1:8" ht="12.75" x14ac:dyDescent="0.2">
      <c r="A133" s="11" t="s">
        <v>145</v>
      </c>
      <c r="B133" s="12">
        <v>73</v>
      </c>
      <c r="C133" s="12">
        <v>74</v>
      </c>
      <c r="D133" s="12">
        <v>72</v>
      </c>
      <c r="E133" s="7">
        <v>72.849999999999994</v>
      </c>
      <c r="F133" s="24" t="str">
        <f t="shared" si="2"/>
        <v>PASSED</v>
      </c>
      <c r="G133" s="20">
        <v>2.13</v>
      </c>
      <c r="H133" s="25">
        <v>45017</v>
      </c>
    </row>
    <row r="134" spans="1:8" ht="12.75" x14ac:dyDescent="0.2">
      <c r="A134" s="11" t="s">
        <v>146</v>
      </c>
      <c r="B134" s="12">
        <v>82</v>
      </c>
      <c r="C134" s="12">
        <v>81</v>
      </c>
      <c r="D134" s="12">
        <v>84</v>
      </c>
      <c r="E134" s="7">
        <v>82.6</v>
      </c>
      <c r="F134" s="24" t="str">
        <f t="shared" si="2"/>
        <v>PASSED</v>
      </c>
      <c r="G134" s="20">
        <v>1.7521</v>
      </c>
      <c r="H134" s="25">
        <v>45017</v>
      </c>
    </row>
    <row r="135" spans="1:8" ht="15" x14ac:dyDescent="0.25">
      <c r="A135" s="11" t="s">
        <v>148</v>
      </c>
      <c r="B135" s="12">
        <v>75</v>
      </c>
      <c r="C135" s="12">
        <v>72</v>
      </c>
      <c r="D135" s="12">
        <v>75</v>
      </c>
      <c r="E135" s="7">
        <v>74.099999999999994</v>
      </c>
      <c r="F135" s="24" t="str">
        <f t="shared" si="2"/>
        <v>PASSED</v>
      </c>
      <c r="G135" s="22">
        <v>1.7735000000000001</v>
      </c>
      <c r="H135" s="25">
        <v>45017</v>
      </c>
    </row>
    <row r="136" spans="1:8" ht="15" x14ac:dyDescent="0.25">
      <c r="A136" s="5" t="s">
        <v>107</v>
      </c>
      <c r="B136" s="6">
        <v>64</v>
      </c>
      <c r="C136" s="6">
        <v>64</v>
      </c>
      <c r="D136" s="6">
        <v>72</v>
      </c>
      <c r="E136" s="10">
        <v>67.599999999999994</v>
      </c>
      <c r="F136" s="24" t="s">
        <v>256</v>
      </c>
      <c r="G136" s="20">
        <v>2.4500000000000002</v>
      </c>
      <c r="H136" s="25">
        <v>45017</v>
      </c>
    </row>
    <row r="137" spans="1:8" ht="12.75" x14ac:dyDescent="0.2">
      <c r="A137" s="9" t="s">
        <v>116</v>
      </c>
      <c r="B137" s="6">
        <v>60</v>
      </c>
      <c r="C137" s="6">
        <v>57</v>
      </c>
      <c r="D137" s="6">
        <v>50</v>
      </c>
      <c r="E137" s="10">
        <v>54.6</v>
      </c>
      <c r="F137" s="24" t="s">
        <v>256</v>
      </c>
      <c r="G137" s="20">
        <v>2.14</v>
      </c>
      <c r="H137" s="25">
        <v>45017</v>
      </c>
    </row>
    <row r="138" spans="1:8" ht="15" x14ac:dyDescent="0.25">
      <c r="A138" s="9" t="s">
        <v>118</v>
      </c>
      <c r="B138" s="6">
        <v>74</v>
      </c>
      <c r="C138" s="6">
        <v>46</v>
      </c>
      <c r="D138" s="6">
        <v>55</v>
      </c>
      <c r="E138" s="10">
        <v>57.05</v>
      </c>
      <c r="F138" s="24" t="s">
        <v>256</v>
      </c>
      <c r="G138" s="22">
        <v>1.8559000000000001</v>
      </c>
      <c r="H138" s="25">
        <v>45017</v>
      </c>
    </row>
    <row r="139" spans="1:8" ht="15" x14ac:dyDescent="0.25">
      <c r="A139" s="11" t="s">
        <v>121</v>
      </c>
      <c r="B139" s="12">
        <v>72</v>
      </c>
      <c r="C139" s="12">
        <v>60</v>
      </c>
      <c r="D139" s="12">
        <v>63</v>
      </c>
      <c r="E139" s="10">
        <v>64.349999999999994</v>
      </c>
      <c r="F139" s="24" t="s">
        <v>256</v>
      </c>
      <c r="G139" s="22">
        <v>1.9882</v>
      </c>
      <c r="H139" s="25">
        <v>45017</v>
      </c>
    </row>
    <row r="140" spans="1:8" ht="12.75" x14ac:dyDescent="0.2">
      <c r="A140" s="9" t="s">
        <v>124</v>
      </c>
      <c r="B140" s="6">
        <v>70</v>
      </c>
      <c r="C140" s="6">
        <v>63</v>
      </c>
      <c r="D140" s="6">
        <v>48</v>
      </c>
      <c r="E140" s="10">
        <v>58</v>
      </c>
      <c r="F140" s="24" t="s">
        <v>256</v>
      </c>
      <c r="G140" s="20">
        <v>2.4064000000000001</v>
      </c>
      <c r="H140" s="25">
        <v>45017</v>
      </c>
    </row>
    <row r="141" spans="1:8" ht="15" x14ac:dyDescent="0.25">
      <c r="A141" s="9" t="s">
        <v>128</v>
      </c>
      <c r="B141" s="6">
        <v>70</v>
      </c>
      <c r="C141" s="6">
        <v>55</v>
      </c>
      <c r="D141" s="6">
        <v>57</v>
      </c>
      <c r="E141" s="10">
        <v>59.65</v>
      </c>
      <c r="F141" s="24" t="s">
        <v>256</v>
      </c>
      <c r="G141" s="22">
        <v>2.1469</v>
      </c>
      <c r="H141" s="25">
        <v>45017</v>
      </c>
    </row>
    <row r="142" spans="1:8" ht="12.75" x14ac:dyDescent="0.2">
      <c r="A142" s="11" t="s">
        <v>134</v>
      </c>
      <c r="B142" s="12">
        <v>64</v>
      </c>
      <c r="C142" s="12">
        <v>67</v>
      </c>
      <c r="D142" s="12">
        <v>67</v>
      </c>
      <c r="E142" s="10">
        <v>66.25</v>
      </c>
      <c r="F142" s="24" t="s">
        <v>256</v>
      </c>
      <c r="G142" s="20">
        <v>2.2151999999999998</v>
      </c>
      <c r="H142" s="25">
        <v>45017</v>
      </c>
    </row>
    <row r="143" spans="1:8" ht="15" x14ac:dyDescent="0.25">
      <c r="A143" s="11" t="s">
        <v>136</v>
      </c>
      <c r="B143" s="12">
        <v>60</v>
      </c>
      <c r="C143" s="12">
        <v>60</v>
      </c>
      <c r="D143" s="12">
        <v>52</v>
      </c>
      <c r="E143" s="10">
        <v>56.4</v>
      </c>
      <c r="F143" s="24" t="s">
        <v>256</v>
      </c>
      <c r="G143" s="23">
        <v>2.4</v>
      </c>
      <c r="H143" s="26">
        <v>45017</v>
      </c>
    </row>
    <row r="144" spans="1:8" ht="12.75" x14ac:dyDescent="0.2">
      <c r="A144" s="11" t="s">
        <v>138</v>
      </c>
      <c r="B144" s="12">
        <v>57</v>
      </c>
      <c r="C144" s="12">
        <v>46</v>
      </c>
      <c r="D144" s="12">
        <v>55</v>
      </c>
      <c r="E144" s="10">
        <v>52.8</v>
      </c>
      <c r="F144" s="24" t="s">
        <v>256</v>
      </c>
      <c r="G144" s="8">
        <v>2.61</v>
      </c>
      <c r="H144" s="26">
        <v>45017</v>
      </c>
    </row>
    <row r="145" spans="1:8" ht="15" x14ac:dyDescent="0.25">
      <c r="A145" s="11" t="s">
        <v>143</v>
      </c>
      <c r="B145" s="12">
        <v>78</v>
      </c>
      <c r="C145" s="12">
        <v>70</v>
      </c>
      <c r="D145" s="12">
        <v>55</v>
      </c>
      <c r="E145" s="10">
        <v>65.25</v>
      </c>
      <c r="F145" s="24" t="s">
        <v>256</v>
      </c>
      <c r="G145" s="23">
        <v>1.8414999999999999</v>
      </c>
      <c r="H145" s="26">
        <v>45017</v>
      </c>
    </row>
    <row r="146" spans="1:8" ht="15" x14ac:dyDescent="0.25">
      <c r="A146" s="11" t="s">
        <v>147</v>
      </c>
      <c r="B146" s="12">
        <v>70</v>
      </c>
      <c r="C146" s="12">
        <v>60</v>
      </c>
      <c r="D146" s="12">
        <v>57</v>
      </c>
      <c r="E146" s="10">
        <v>61.15</v>
      </c>
      <c r="F146" s="24" t="s">
        <v>256</v>
      </c>
      <c r="G146" s="23">
        <v>1.93</v>
      </c>
      <c r="H146" s="26">
        <v>45017</v>
      </c>
    </row>
    <row r="147" spans="1:8" ht="12.75" x14ac:dyDescent="0.2">
      <c r="A147" s="11" t="s">
        <v>149</v>
      </c>
      <c r="B147" s="12">
        <v>53</v>
      </c>
      <c r="C147" s="12">
        <v>50</v>
      </c>
      <c r="D147" s="12">
        <v>56</v>
      </c>
      <c r="E147" s="10">
        <v>53.45</v>
      </c>
      <c r="F147" s="24" t="s">
        <v>256</v>
      </c>
      <c r="G147" s="8">
        <v>2.36</v>
      </c>
      <c r="H147" s="26">
        <v>45017</v>
      </c>
    </row>
    <row r="148" spans="1:8" ht="12.75" x14ac:dyDescent="0.2">
      <c r="A148" s="11" t="s">
        <v>150</v>
      </c>
      <c r="B148" s="12">
        <v>70</v>
      </c>
      <c r="C148" s="12">
        <v>46</v>
      </c>
      <c r="D148" s="12">
        <v>52</v>
      </c>
      <c r="E148" s="10">
        <v>54.7</v>
      </c>
      <c r="F148" s="24" t="s">
        <v>256</v>
      </c>
      <c r="G148" s="8">
        <v>2.169</v>
      </c>
      <c r="H148" s="26">
        <v>45017</v>
      </c>
    </row>
    <row r="149" spans="1:8" ht="15" x14ac:dyDescent="0.25">
      <c r="A149" s="18" t="s">
        <v>151</v>
      </c>
      <c r="B149" s="19">
        <v>81</v>
      </c>
      <c r="C149" s="19">
        <v>72</v>
      </c>
      <c r="D149" s="19">
        <v>74</v>
      </c>
      <c r="E149" s="7">
        <v>75.150000000000006</v>
      </c>
      <c r="F149" s="8" t="str">
        <f t="shared" ref="F149:F150" si="3">IF(E149&gt;=70,"PASSED", "---")</f>
        <v>PASSED</v>
      </c>
      <c r="G149" s="20">
        <v>1.9810000000000001</v>
      </c>
      <c r="H149" s="25">
        <v>45170</v>
      </c>
    </row>
    <row r="150" spans="1:8" ht="12.75" x14ac:dyDescent="0.2">
      <c r="A150" s="11" t="s">
        <v>153</v>
      </c>
      <c r="B150" s="12">
        <v>74</v>
      </c>
      <c r="C150" s="12">
        <v>67</v>
      </c>
      <c r="D150" s="12">
        <v>71</v>
      </c>
      <c r="E150" s="7">
        <v>70.55</v>
      </c>
      <c r="F150" s="8" t="str">
        <f t="shared" si="3"/>
        <v>PASSED</v>
      </c>
      <c r="G150" s="20">
        <v>2.0964999999999998</v>
      </c>
      <c r="H150" s="25">
        <v>45170</v>
      </c>
    </row>
    <row r="151" spans="1:8" ht="15" x14ac:dyDescent="0.25">
      <c r="A151" s="18" t="s">
        <v>152</v>
      </c>
      <c r="B151" s="19">
        <v>70</v>
      </c>
      <c r="C151" s="19">
        <v>59</v>
      </c>
      <c r="D151" s="19">
        <v>56</v>
      </c>
      <c r="E151" s="10">
        <v>60.4</v>
      </c>
      <c r="F151" s="8" t="s">
        <v>256</v>
      </c>
      <c r="G151" s="20">
        <v>1.57</v>
      </c>
      <c r="H151" s="25">
        <v>45170</v>
      </c>
    </row>
    <row r="152" spans="1:8" ht="15" x14ac:dyDescent="0.25">
      <c r="A152" s="18" t="s">
        <v>154</v>
      </c>
      <c r="B152" s="19">
        <v>80</v>
      </c>
      <c r="C152" s="19">
        <v>64</v>
      </c>
      <c r="D152" s="19">
        <v>56</v>
      </c>
      <c r="E152" s="10">
        <v>64.400000000000006</v>
      </c>
      <c r="F152" s="8" t="s">
        <v>256</v>
      </c>
      <c r="G152" s="22">
        <v>2.4470000000000001</v>
      </c>
      <c r="H152" s="25">
        <v>45170</v>
      </c>
    </row>
    <row r="153" spans="1:8" ht="15" x14ac:dyDescent="0.25">
      <c r="A153" s="18" t="s">
        <v>155</v>
      </c>
      <c r="B153" s="19">
        <v>60</v>
      </c>
      <c r="C153" s="19">
        <v>55</v>
      </c>
      <c r="D153" s="19">
        <v>53</v>
      </c>
      <c r="E153" s="10">
        <v>55.35</v>
      </c>
      <c r="F153" s="8" t="s">
        <v>256</v>
      </c>
      <c r="G153" s="20">
        <v>2.2151999999999998</v>
      </c>
      <c r="H153" s="25">
        <v>45170</v>
      </c>
    </row>
    <row r="154" spans="1:8" ht="12.75" x14ac:dyDescent="0.2">
      <c r="A154" s="11" t="s">
        <v>156</v>
      </c>
      <c r="B154" s="12">
        <v>72</v>
      </c>
      <c r="C154" s="12">
        <v>55</v>
      </c>
      <c r="D154" s="12">
        <v>60</v>
      </c>
      <c r="E154" s="10">
        <v>61.5</v>
      </c>
      <c r="F154" s="8" t="s">
        <v>256</v>
      </c>
      <c r="G154" s="20">
        <v>1.8920999999999999</v>
      </c>
      <c r="H154" s="25">
        <v>45170</v>
      </c>
    </row>
    <row r="155" spans="1:8" ht="12.75" x14ac:dyDescent="0.2">
      <c r="A155" s="11" t="s">
        <v>157</v>
      </c>
      <c r="B155" s="12">
        <v>55</v>
      </c>
      <c r="C155" s="12">
        <v>53</v>
      </c>
      <c r="D155" s="12">
        <v>46</v>
      </c>
      <c r="E155" s="10">
        <v>50.35</v>
      </c>
      <c r="F155" s="8" t="s">
        <v>256</v>
      </c>
      <c r="G155" s="8">
        <v>2.4214000000000002</v>
      </c>
      <c r="H155" s="26">
        <v>45170</v>
      </c>
    </row>
    <row r="156" spans="1:8" ht="12.75" x14ac:dyDescent="0.2">
      <c r="A156" s="11" t="s">
        <v>158</v>
      </c>
      <c r="B156" s="12">
        <v>73</v>
      </c>
      <c r="C156" s="12">
        <v>56</v>
      </c>
      <c r="D156" s="12">
        <v>71</v>
      </c>
      <c r="E156" s="10">
        <v>67</v>
      </c>
      <c r="F156" s="8" t="s">
        <v>256</v>
      </c>
      <c r="G156" s="8">
        <v>2.1720000000000002</v>
      </c>
      <c r="H156" s="26">
        <v>45170</v>
      </c>
    </row>
    <row r="157" spans="1:8" ht="12.75" x14ac:dyDescent="0.2">
      <c r="A157" s="11" t="s">
        <v>159</v>
      </c>
      <c r="B157" s="12">
        <v>48</v>
      </c>
      <c r="C157" s="12">
        <v>48</v>
      </c>
      <c r="D157" s="12">
        <v>45</v>
      </c>
      <c r="E157" s="10">
        <v>46.65</v>
      </c>
      <c r="F157" s="8" t="s">
        <v>256</v>
      </c>
      <c r="G157" s="8">
        <v>2.3944000000000001</v>
      </c>
      <c r="H157" s="26">
        <v>45170</v>
      </c>
    </row>
    <row r="158" spans="1:8" ht="15" x14ac:dyDescent="0.25">
      <c r="A158" s="5" t="s">
        <v>160</v>
      </c>
      <c r="B158" s="6">
        <v>77</v>
      </c>
      <c r="C158" s="6">
        <v>72</v>
      </c>
      <c r="D158" s="6">
        <v>69</v>
      </c>
      <c r="E158" s="7">
        <v>71.900000000000006</v>
      </c>
      <c r="F158" s="8" t="str">
        <f t="shared" ref="F158:F224" si="4">IF(E158&gt;=70,"PASSED", "---")</f>
        <v>PASSED</v>
      </c>
      <c r="G158" s="20">
        <v>1.8755999999999999</v>
      </c>
      <c r="H158" s="25">
        <v>45383</v>
      </c>
    </row>
    <row r="159" spans="1:8" ht="12.75" x14ac:dyDescent="0.2">
      <c r="A159" s="11" t="s">
        <v>161</v>
      </c>
      <c r="B159" s="12">
        <v>80</v>
      </c>
      <c r="C159" s="12">
        <v>78</v>
      </c>
      <c r="D159" s="12">
        <v>77</v>
      </c>
      <c r="E159" s="7">
        <v>78.05</v>
      </c>
      <c r="F159" s="8" t="str">
        <f t="shared" si="4"/>
        <v>PASSED</v>
      </c>
      <c r="G159" s="20">
        <v>1.7928999999999999</v>
      </c>
      <c r="H159" s="25">
        <v>45383</v>
      </c>
    </row>
    <row r="160" spans="1:8" ht="12.75" x14ac:dyDescent="0.2">
      <c r="A160" s="11" t="s">
        <v>162</v>
      </c>
      <c r="B160" s="12">
        <v>70</v>
      </c>
      <c r="C160" s="12">
        <v>70</v>
      </c>
      <c r="D160" s="12">
        <v>70</v>
      </c>
      <c r="E160" s="7">
        <v>70</v>
      </c>
      <c r="F160" s="8" t="str">
        <f t="shared" si="4"/>
        <v>PASSED</v>
      </c>
      <c r="G160" s="20">
        <v>1.7829999999999999</v>
      </c>
      <c r="H160" s="25">
        <v>45383</v>
      </c>
    </row>
    <row r="161" spans="1:8" ht="12.75" x14ac:dyDescent="0.2">
      <c r="A161" s="11" t="s">
        <v>163</v>
      </c>
      <c r="B161" s="12">
        <v>83</v>
      </c>
      <c r="C161" s="12">
        <v>77</v>
      </c>
      <c r="D161" s="12">
        <v>75</v>
      </c>
      <c r="E161" s="7">
        <v>77.599999999999994</v>
      </c>
      <c r="F161" s="8" t="str">
        <f t="shared" si="4"/>
        <v>PASSED</v>
      </c>
      <c r="G161" s="20">
        <v>1.7942</v>
      </c>
      <c r="H161" s="25">
        <v>45383</v>
      </c>
    </row>
    <row r="162" spans="1:8" ht="12.75" x14ac:dyDescent="0.2">
      <c r="A162" s="11" t="s">
        <v>164</v>
      </c>
      <c r="B162" s="12">
        <v>86</v>
      </c>
      <c r="C162" s="12">
        <v>81</v>
      </c>
      <c r="D162" s="12">
        <v>86</v>
      </c>
      <c r="E162" s="7">
        <v>84.5</v>
      </c>
      <c r="F162" s="8" t="str">
        <f t="shared" si="4"/>
        <v>PASSED</v>
      </c>
      <c r="G162" s="20">
        <v>1.75</v>
      </c>
      <c r="H162" s="25">
        <v>45383</v>
      </c>
    </row>
    <row r="163" spans="1:8" ht="12.75" x14ac:dyDescent="0.2">
      <c r="A163" s="11" t="s">
        <v>165</v>
      </c>
      <c r="B163" s="12">
        <v>77</v>
      </c>
      <c r="C163" s="12">
        <v>74</v>
      </c>
      <c r="D163" s="12">
        <v>69</v>
      </c>
      <c r="E163" s="7">
        <v>72.5</v>
      </c>
      <c r="F163" s="8" t="str">
        <f t="shared" si="4"/>
        <v>PASSED</v>
      </c>
      <c r="G163" s="20">
        <v>1.79</v>
      </c>
      <c r="H163" s="25">
        <v>45383</v>
      </c>
    </row>
    <row r="164" spans="1:8" ht="12.75" x14ac:dyDescent="0.2">
      <c r="A164" s="11" t="s">
        <v>167</v>
      </c>
      <c r="B164" s="12">
        <v>83</v>
      </c>
      <c r="C164" s="12">
        <v>81</v>
      </c>
      <c r="D164" s="12">
        <v>77</v>
      </c>
      <c r="E164" s="7">
        <v>79.7</v>
      </c>
      <c r="F164" s="8" t="str">
        <f t="shared" si="4"/>
        <v>PASSED</v>
      </c>
      <c r="G164" s="20">
        <v>1.72</v>
      </c>
      <c r="H164" s="25">
        <v>45383</v>
      </c>
    </row>
    <row r="165" spans="1:8" ht="12.75" x14ac:dyDescent="0.2">
      <c r="A165" s="11" t="s">
        <v>169</v>
      </c>
      <c r="B165" s="12">
        <v>80</v>
      </c>
      <c r="C165" s="12">
        <v>78</v>
      </c>
      <c r="D165" s="12">
        <v>79</v>
      </c>
      <c r="E165" s="7">
        <v>78.95</v>
      </c>
      <c r="F165" s="8" t="str">
        <f t="shared" si="4"/>
        <v>PASSED</v>
      </c>
      <c r="G165" s="20">
        <v>1.75</v>
      </c>
      <c r="H165" s="25">
        <v>45383</v>
      </c>
    </row>
    <row r="166" spans="1:8" ht="12.75" x14ac:dyDescent="0.2">
      <c r="A166" s="11" t="s">
        <v>170</v>
      </c>
      <c r="B166" s="12">
        <v>83</v>
      </c>
      <c r="C166" s="12">
        <v>80</v>
      </c>
      <c r="D166" s="12">
        <v>76</v>
      </c>
      <c r="E166" s="7">
        <v>78.95</v>
      </c>
      <c r="F166" s="8" t="str">
        <f t="shared" si="4"/>
        <v>PASSED</v>
      </c>
      <c r="G166" s="20">
        <v>1.67</v>
      </c>
      <c r="H166" s="25">
        <v>45383</v>
      </c>
    </row>
    <row r="167" spans="1:8" ht="12.75" x14ac:dyDescent="0.2">
      <c r="A167" s="11" t="s">
        <v>171</v>
      </c>
      <c r="B167" s="12">
        <v>88</v>
      </c>
      <c r="C167" s="12">
        <v>84</v>
      </c>
      <c r="D167" s="12">
        <v>87</v>
      </c>
      <c r="E167" s="7">
        <v>86.35</v>
      </c>
      <c r="F167" s="8" t="str">
        <f t="shared" si="4"/>
        <v>PASSED</v>
      </c>
      <c r="G167" s="20">
        <v>1.86</v>
      </c>
      <c r="H167" s="25">
        <v>45383</v>
      </c>
    </row>
    <row r="168" spans="1:8" ht="12.75" x14ac:dyDescent="0.2">
      <c r="A168" s="11" t="s">
        <v>172</v>
      </c>
      <c r="B168" s="12">
        <v>84</v>
      </c>
      <c r="C168" s="12">
        <v>84</v>
      </c>
      <c r="D168" s="12">
        <v>80</v>
      </c>
      <c r="E168" s="7">
        <v>82.2</v>
      </c>
      <c r="F168" s="8" t="str">
        <f t="shared" si="4"/>
        <v>PASSED</v>
      </c>
      <c r="G168" s="20">
        <v>1.728</v>
      </c>
      <c r="H168" s="25">
        <v>45383</v>
      </c>
    </row>
    <row r="169" spans="1:8" ht="12.75" x14ac:dyDescent="0.2">
      <c r="A169" s="11" t="s">
        <v>173</v>
      </c>
      <c r="B169" s="12">
        <v>86</v>
      </c>
      <c r="C169" s="12">
        <v>83</v>
      </c>
      <c r="D169" s="12">
        <v>81</v>
      </c>
      <c r="E169" s="7">
        <v>82.85</v>
      </c>
      <c r="F169" s="8" t="str">
        <f t="shared" si="4"/>
        <v>PASSED</v>
      </c>
      <c r="G169" s="20">
        <v>1.867</v>
      </c>
      <c r="H169" s="25">
        <v>45383</v>
      </c>
    </row>
    <row r="170" spans="1:8" ht="12.75" x14ac:dyDescent="0.2">
      <c r="A170" s="11" t="s">
        <v>174</v>
      </c>
      <c r="B170" s="12">
        <v>82</v>
      </c>
      <c r="C170" s="12">
        <v>75</v>
      </c>
      <c r="D170" s="12">
        <v>86</v>
      </c>
      <c r="E170" s="7">
        <v>81.7</v>
      </c>
      <c r="F170" s="8" t="str">
        <f t="shared" si="4"/>
        <v>PASSED</v>
      </c>
      <c r="G170" s="20">
        <v>2.0339999999999998</v>
      </c>
      <c r="H170" s="25">
        <v>45383</v>
      </c>
    </row>
    <row r="171" spans="1:8" ht="12.75" x14ac:dyDescent="0.2">
      <c r="A171" s="11" t="s">
        <v>175</v>
      </c>
      <c r="B171" s="12">
        <v>77</v>
      </c>
      <c r="C171" s="12">
        <v>78</v>
      </c>
      <c r="D171" s="12">
        <v>77</v>
      </c>
      <c r="E171" s="7">
        <v>77.3</v>
      </c>
      <c r="F171" s="8" t="str">
        <f t="shared" si="4"/>
        <v>PASSED</v>
      </c>
      <c r="G171" s="20">
        <v>1.76</v>
      </c>
      <c r="H171" s="25">
        <v>45383</v>
      </c>
    </row>
    <row r="172" spans="1:8" ht="12.75" x14ac:dyDescent="0.2">
      <c r="A172" s="11" t="s">
        <v>176</v>
      </c>
      <c r="B172" s="12">
        <v>82</v>
      </c>
      <c r="C172" s="12">
        <v>83</v>
      </c>
      <c r="D172" s="12">
        <v>77</v>
      </c>
      <c r="E172" s="7">
        <v>80.05</v>
      </c>
      <c r="F172" s="8" t="str">
        <f t="shared" si="4"/>
        <v>PASSED</v>
      </c>
      <c r="G172" s="20">
        <v>1.62</v>
      </c>
      <c r="H172" s="25">
        <v>45383</v>
      </c>
    </row>
    <row r="173" spans="1:8" ht="12.75" x14ac:dyDescent="0.2">
      <c r="A173" s="11" t="s">
        <v>177</v>
      </c>
      <c r="B173" s="12">
        <v>77</v>
      </c>
      <c r="C173" s="12">
        <v>75</v>
      </c>
      <c r="D173" s="12">
        <v>82</v>
      </c>
      <c r="E173" s="7">
        <v>78.650000000000006</v>
      </c>
      <c r="F173" s="8" t="str">
        <f t="shared" si="4"/>
        <v>PASSED</v>
      </c>
      <c r="G173" s="20">
        <v>1.829</v>
      </c>
      <c r="H173" s="25">
        <v>45383</v>
      </c>
    </row>
    <row r="174" spans="1:8" ht="12.75" x14ac:dyDescent="0.2">
      <c r="A174" s="11" t="s">
        <v>178</v>
      </c>
      <c r="B174" s="12">
        <v>70</v>
      </c>
      <c r="C174" s="12">
        <v>70</v>
      </c>
      <c r="D174" s="12">
        <v>70</v>
      </c>
      <c r="E174" s="7">
        <v>70</v>
      </c>
      <c r="F174" s="8" t="str">
        <f t="shared" si="4"/>
        <v>PASSED</v>
      </c>
      <c r="G174" s="20">
        <v>1.7010000000000001</v>
      </c>
      <c r="H174" s="25">
        <v>45383</v>
      </c>
    </row>
    <row r="175" spans="1:8" ht="12.75" x14ac:dyDescent="0.2">
      <c r="A175" s="11" t="s">
        <v>179</v>
      </c>
      <c r="B175" s="12">
        <v>83</v>
      </c>
      <c r="C175" s="12">
        <v>75</v>
      </c>
      <c r="D175" s="12">
        <v>79</v>
      </c>
      <c r="E175" s="7">
        <v>78.8</v>
      </c>
      <c r="F175" s="8" t="str">
        <f t="shared" si="4"/>
        <v>PASSED</v>
      </c>
      <c r="G175" s="20">
        <v>1.7629999999999999</v>
      </c>
      <c r="H175" s="25">
        <v>45383</v>
      </c>
    </row>
    <row r="176" spans="1:8" ht="12.75" x14ac:dyDescent="0.2">
      <c r="A176" s="11" t="s">
        <v>180</v>
      </c>
      <c r="B176" s="12">
        <v>84</v>
      </c>
      <c r="C176" s="12">
        <v>87</v>
      </c>
      <c r="D176" s="12">
        <v>80</v>
      </c>
      <c r="E176" s="7">
        <v>83.1</v>
      </c>
      <c r="F176" s="8" t="str">
        <f t="shared" si="4"/>
        <v>PASSED</v>
      </c>
      <c r="G176" s="20">
        <v>1.7</v>
      </c>
      <c r="H176" s="25">
        <v>45383</v>
      </c>
    </row>
    <row r="177" spans="1:8" ht="12.75" x14ac:dyDescent="0.2">
      <c r="A177" s="11" t="s">
        <v>181</v>
      </c>
      <c r="B177" s="12">
        <v>84</v>
      </c>
      <c r="C177" s="12">
        <v>77</v>
      </c>
      <c r="D177" s="12">
        <v>78</v>
      </c>
      <c r="E177" s="7">
        <v>79.2</v>
      </c>
      <c r="F177" s="8" t="str">
        <f t="shared" si="4"/>
        <v>PASSED</v>
      </c>
      <c r="G177" s="20">
        <v>1.66</v>
      </c>
      <c r="H177" s="25">
        <v>45383</v>
      </c>
    </row>
    <row r="178" spans="1:8" ht="12.75" x14ac:dyDescent="0.2">
      <c r="A178" s="11" t="s">
        <v>182</v>
      </c>
      <c r="B178" s="12">
        <v>77</v>
      </c>
      <c r="C178" s="12">
        <v>78</v>
      </c>
      <c r="D178" s="12">
        <v>81</v>
      </c>
      <c r="E178" s="7">
        <v>79.099999999999994</v>
      </c>
      <c r="F178" s="8" t="str">
        <f t="shared" si="4"/>
        <v>PASSED</v>
      </c>
      <c r="G178" s="20">
        <v>2.125</v>
      </c>
      <c r="H178" s="25">
        <v>45383</v>
      </c>
    </row>
    <row r="179" spans="1:8" ht="12.75" x14ac:dyDescent="0.2">
      <c r="A179" s="11" t="s">
        <v>183</v>
      </c>
      <c r="B179" s="12">
        <v>83</v>
      </c>
      <c r="C179" s="12">
        <v>77</v>
      </c>
      <c r="D179" s="12">
        <v>77</v>
      </c>
      <c r="E179" s="7">
        <v>78.5</v>
      </c>
      <c r="F179" s="8" t="str">
        <f t="shared" si="4"/>
        <v>PASSED</v>
      </c>
      <c r="G179" s="20">
        <v>1.76</v>
      </c>
      <c r="H179" s="25">
        <v>45383</v>
      </c>
    </row>
    <row r="180" spans="1:8" ht="12.75" x14ac:dyDescent="0.2">
      <c r="A180" s="11" t="s">
        <v>184</v>
      </c>
      <c r="B180" s="12">
        <v>74</v>
      </c>
      <c r="C180" s="12">
        <v>72</v>
      </c>
      <c r="D180" s="12">
        <v>67</v>
      </c>
      <c r="E180" s="7">
        <v>70.25</v>
      </c>
      <c r="F180" s="8" t="str">
        <f t="shared" si="4"/>
        <v>PASSED</v>
      </c>
      <c r="G180" s="20">
        <v>1.77</v>
      </c>
      <c r="H180" s="25">
        <v>45383</v>
      </c>
    </row>
    <row r="181" spans="1:8" ht="15" x14ac:dyDescent="0.25">
      <c r="A181" s="11" t="s">
        <v>185</v>
      </c>
      <c r="B181" s="12">
        <v>88</v>
      </c>
      <c r="C181" s="12">
        <v>80</v>
      </c>
      <c r="D181" s="12">
        <v>89</v>
      </c>
      <c r="E181" s="7">
        <v>86.05</v>
      </c>
      <c r="F181" s="8" t="str">
        <f t="shared" si="4"/>
        <v>PASSED</v>
      </c>
      <c r="G181" s="22">
        <v>1.7665</v>
      </c>
      <c r="H181" s="25">
        <v>45383</v>
      </c>
    </row>
    <row r="182" spans="1:8" ht="12.75" x14ac:dyDescent="0.2">
      <c r="A182" s="11" t="s">
        <v>186</v>
      </c>
      <c r="B182" s="12">
        <v>77</v>
      </c>
      <c r="C182" s="12">
        <v>71</v>
      </c>
      <c r="D182" s="12">
        <v>73</v>
      </c>
      <c r="E182" s="7">
        <v>73.400000000000006</v>
      </c>
      <c r="F182" s="8" t="str">
        <f t="shared" si="4"/>
        <v>PASSED</v>
      </c>
      <c r="G182" s="20">
        <v>1.89</v>
      </c>
      <c r="H182" s="25">
        <v>45383</v>
      </c>
    </row>
    <row r="183" spans="1:8" ht="12.75" x14ac:dyDescent="0.2">
      <c r="A183" s="11" t="s">
        <v>187</v>
      </c>
      <c r="B183" s="12">
        <v>76</v>
      </c>
      <c r="C183" s="12">
        <v>71</v>
      </c>
      <c r="D183" s="12">
        <v>74</v>
      </c>
      <c r="E183" s="7">
        <v>73.599999999999994</v>
      </c>
      <c r="F183" s="8" t="str">
        <f t="shared" si="4"/>
        <v>PASSED</v>
      </c>
      <c r="G183" s="20">
        <v>1.788</v>
      </c>
      <c r="H183" s="25">
        <v>45383</v>
      </c>
    </row>
    <row r="184" spans="1:8" ht="12.75" x14ac:dyDescent="0.2">
      <c r="A184" s="11" t="s">
        <v>188</v>
      </c>
      <c r="B184" s="12">
        <v>83</v>
      </c>
      <c r="C184" s="12">
        <v>75</v>
      </c>
      <c r="D184" s="12">
        <v>82</v>
      </c>
      <c r="E184" s="7">
        <v>80.150000000000006</v>
      </c>
      <c r="F184" s="8" t="str">
        <f t="shared" si="4"/>
        <v>PASSED</v>
      </c>
      <c r="G184" s="20">
        <v>1.75</v>
      </c>
      <c r="H184" s="25">
        <v>45383</v>
      </c>
    </row>
    <row r="185" spans="1:8" ht="12.75" x14ac:dyDescent="0.2">
      <c r="A185" s="11" t="s">
        <v>189</v>
      </c>
      <c r="B185" s="12">
        <v>77</v>
      </c>
      <c r="C185" s="12">
        <v>72</v>
      </c>
      <c r="D185" s="12">
        <v>74</v>
      </c>
      <c r="E185" s="7">
        <v>74.150000000000006</v>
      </c>
      <c r="F185" s="8" t="str">
        <f t="shared" si="4"/>
        <v>PASSED</v>
      </c>
      <c r="G185" s="20">
        <v>1.72</v>
      </c>
      <c r="H185" s="25">
        <v>45383</v>
      </c>
    </row>
    <row r="186" spans="1:8" ht="12.75" x14ac:dyDescent="0.2">
      <c r="A186" s="11" t="s">
        <v>190</v>
      </c>
      <c r="B186" s="12">
        <v>81</v>
      </c>
      <c r="C186" s="12">
        <v>78</v>
      </c>
      <c r="D186" s="12">
        <v>77</v>
      </c>
      <c r="E186" s="7">
        <v>78.3</v>
      </c>
      <c r="F186" s="8" t="str">
        <f t="shared" si="4"/>
        <v>PASSED</v>
      </c>
      <c r="G186" s="20">
        <v>1.68</v>
      </c>
      <c r="H186" s="25">
        <v>45383</v>
      </c>
    </row>
    <row r="187" spans="1:8" ht="12.75" x14ac:dyDescent="0.2">
      <c r="A187" s="11" t="s">
        <v>191</v>
      </c>
      <c r="B187" s="12">
        <v>81</v>
      </c>
      <c r="C187" s="12">
        <v>74</v>
      </c>
      <c r="D187" s="12">
        <v>80</v>
      </c>
      <c r="E187" s="7">
        <v>78.45</v>
      </c>
      <c r="F187" s="8" t="str">
        <f t="shared" si="4"/>
        <v>PASSED</v>
      </c>
      <c r="G187" s="20">
        <v>1.88</v>
      </c>
      <c r="H187" s="25">
        <v>45383</v>
      </c>
    </row>
    <row r="188" spans="1:8" ht="12.75" x14ac:dyDescent="0.2">
      <c r="A188" s="11" t="s">
        <v>192</v>
      </c>
      <c r="B188" s="12">
        <v>76</v>
      </c>
      <c r="C188" s="12">
        <v>72</v>
      </c>
      <c r="D188" s="12">
        <v>78</v>
      </c>
      <c r="E188" s="7">
        <v>75.7</v>
      </c>
      <c r="F188" s="8" t="str">
        <f t="shared" si="4"/>
        <v>PASSED</v>
      </c>
      <c r="G188" s="20">
        <v>1.73</v>
      </c>
      <c r="H188" s="25">
        <v>45383</v>
      </c>
    </row>
    <row r="189" spans="1:8" ht="12.75" x14ac:dyDescent="0.2">
      <c r="A189" s="11" t="s">
        <v>193</v>
      </c>
      <c r="B189" s="12">
        <v>94</v>
      </c>
      <c r="C189" s="12">
        <v>81</v>
      </c>
      <c r="D189" s="12">
        <v>87</v>
      </c>
      <c r="E189" s="7">
        <v>86.95</v>
      </c>
      <c r="F189" s="8" t="str">
        <f t="shared" si="4"/>
        <v>PASSED</v>
      </c>
      <c r="G189" s="20">
        <v>1.59</v>
      </c>
      <c r="H189" s="25">
        <v>45383</v>
      </c>
    </row>
    <row r="190" spans="1:8" ht="12.75" x14ac:dyDescent="0.2">
      <c r="A190" s="11" t="s">
        <v>194</v>
      </c>
      <c r="B190" s="12">
        <v>81</v>
      </c>
      <c r="C190" s="12">
        <v>80</v>
      </c>
      <c r="D190" s="12">
        <v>78</v>
      </c>
      <c r="E190" s="7">
        <v>79.349999999999994</v>
      </c>
      <c r="F190" s="8" t="str">
        <f t="shared" si="4"/>
        <v>PASSED</v>
      </c>
      <c r="G190" s="20">
        <v>1.71</v>
      </c>
      <c r="H190" s="25">
        <v>45383</v>
      </c>
    </row>
    <row r="191" spans="1:8" ht="12.75" x14ac:dyDescent="0.2">
      <c r="A191" s="11" t="s">
        <v>195</v>
      </c>
      <c r="B191" s="12">
        <v>93</v>
      </c>
      <c r="C191" s="12">
        <v>88</v>
      </c>
      <c r="D191" s="12">
        <v>86</v>
      </c>
      <c r="E191" s="7">
        <v>88.35</v>
      </c>
      <c r="F191" s="8" t="str">
        <f t="shared" si="4"/>
        <v>PASSED</v>
      </c>
      <c r="G191" s="20">
        <v>1.55</v>
      </c>
      <c r="H191" s="25">
        <v>45383</v>
      </c>
    </row>
    <row r="192" spans="1:8" ht="12.75" x14ac:dyDescent="0.2">
      <c r="A192" s="11" t="s">
        <v>196</v>
      </c>
      <c r="B192" s="12">
        <v>76</v>
      </c>
      <c r="C192" s="12">
        <v>80</v>
      </c>
      <c r="D192" s="12">
        <v>76</v>
      </c>
      <c r="E192" s="7">
        <v>77.2</v>
      </c>
      <c r="F192" s="8" t="str">
        <f t="shared" si="4"/>
        <v>PASSED</v>
      </c>
      <c r="G192" s="20">
        <v>1.83</v>
      </c>
      <c r="H192" s="25">
        <v>45383</v>
      </c>
    </row>
    <row r="193" spans="1:8" ht="12.75" x14ac:dyDescent="0.2">
      <c r="A193" s="11" t="s">
        <v>197</v>
      </c>
      <c r="B193" s="12">
        <v>77</v>
      </c>
      <c r="C193" s="12">
        <v>75</v>
      </c>
      <c r="D193" s="12">
        <v>72</v>
      </c>
      <c r="E193" s="7">
        <v>74.150000000000006</v>
      </c>
      <c r="F193" s="8" t="str">
        <f t="shared" si="4"/>
        <v>PASSED</v>
      </c>
      <c r="G193" s="20">
        <v>1.728</v>
      </c>
      <c r="H193" s="25">
        <v>45383</v>
      </c>
    </row>
    <row r="194" spans="1:8" ht="12.75" x14ac:dyDescent="0.2">
      <c r="A194" s="11" t="s">
        <v>198</v>
      </c>
      <c r="B194" s="12">
        <v>93</v>
      </c>
      <c r="C194" s="12">
        <v>84</v>
      </c>
      <c r="D194" s="12">
        <v>91</v>
      </c>
      <c r="E194" s="7">
        <v>89.4</v>
      </c>
      <c r="F194" s="8" t="str">
        <f t="shared" si="4"/>
        <v>PASSED</v>
      </c>
      <c r="G194" s="20">
        <v>1.43</v>
      </c>
      <c r="H194" s="25">
        <v>45383</v>
      </c>
    </row>
    <row r="195" spans="1:8" ht="12.75" x14ac:dyDescent="0.2">
      <c r="A195" s="11" t="s">
        <v>199</v>
      </c>
      <c r="B195" s="12">
        <v>89</v>
      </c>
      <c r="C195" s="12">
        <v>83</v>
      </c>
      <c r="D195" s="12">
        <v>84</v>
      </c>
      <c r="E195" s="7">
        <v>84.95</v>
      </c>
      <c r="F195" s="8" t="str">
        <f t="shared" si="4"/>
        <v>PASSED</v>
      </c>
      <c r="G195" s="20">
        <v>1.68</v>
      </c>
      <c r="H195" s="25">
        <v>45383</v>
      </c>
    </row>
    <row r="196" spans="1:8" ht="12.75" x14ac:dyDescent="0.2">
      <c r="A196" s="11" t="s">
        <v>201</v>
      </c>
      <c r="B196" s="12">
        <v>80</v>
      </c>
      <c r="C196" s="12">
        <v>75</v>
      </c>
      <c r="D196" s="12">
        <v>78</v>
      </c>
      <c r="E196" s="7">
        <v>77.599999999999994</v>
      </c>
      <c r="F196" s="8" t="str">
        <f t="shared" si="4"/>
        <v>PASSED</v>
      </c>
      <c r="G196" s="20">
        <v>1.69</v>
      </c>
      <c r="H196" s="25">
        <v>45383</v>
      </c>
    </row>
    <row r="197" spans="1:8" ht="12.75" x14ac:dyDescent="0.2">
      <c r="A197" s="11" t="s">
        <v>203</v>
      </c>
      <c r="B197" s="12">
        <v>70</v>
      </c>
      <c r="C197" s="12">
        <v>70</v>
      </c>
      <c r="D197" s="12">
        <v>70</v>
      </c>
      <c r="E197" s="7">
        <v>70</v>
      </c>
      <c r="F197" s="8" t="str">
        <f t="shared" si="4"/>
        <v>PASSED</v>
      </c>
      <c r="G197" s="20">
        <v>1.9088000000000001</v>
      </c>
      <c r="H197" s="25">
        <v>45383</v>
      </c>
    </row>
    <row r="198" spans="1:8" ht="12.75" x14ac:dyDescent="0.2">
      <c r="A198" s="11" t="s">
        <v>205</v>
      </c>
      <c r="B198" s="12">
        <v>80</v>
      </c>
      <c r="C198" s="12">
        <v>82</v>
      </c>
      <c r="D198" s="12">
        <v>77</v>
      </c>
      <c r="E198" s="7">
        <v>79.25</v>
      </c>
      <c r="F198" s="8" t="str">
        <f t="shared" si="4"/>
        <v>PASSED</v>
      </c>
      <c r="G198" s="20">
        <v>1.8420000000000001</v>
      </c>
      <c r="H198" s="25">
        <v>45383</v>
      </c>
    </row>
    <row r="199" spans="1:8" ht="12.75" x14ac:dyDescent="0.2">
      <c r="A199" s="11" t="s">
        <v>206</v>
      </c>
      <c r="B199" s="12">
        <v>90</v>
      </c>
      <c r="C199" s="12">
        <v>78</v>
      </c>
      <c r="D199" s="12">
        <v>82</v>
      </c>
      <c r="E199" s="7">
        <v>82.8</v>
      </c>
      <c r="F199" s="8" t="str">
        <f t="shared" si="4"/>
        <v>PASSED</v>
      </c>
      <c r="G199" s="20">
        <v>1.6372</v>
      </c>
      <c r="H199" s="25">
        <v>45383</v>
      </c>
    </row>
    <row r="200" spans="1:8" ht="12.75" x14ac:dyDescent="0.2">
      <c r="A200" s="11" t="s">
        <v>207</v>
      </c>
      <c r="B200" s="12">
        <v>86</v>
      </c>
      <c r="C200" s="12">
        <v>80</v>
      </c>
      <c r="D200" s="12">
        <v>80</v>
      </c>
      <c r="E200" s="7">
        <v>81.5</v>
      </c>
      <c r="F200" s="8" t="str">
        <f t="shared" si="4"/>
        <v>PASSED</v>
      </c>
      <c r="G200" s="20">
        <v>1.65</v>
      </c>
      <c r="H200" s="25">
        <v>45383</v>
      </c>
    </row>
    <row r="201" spans="1:8" ht="12.75" x14ac:dyDescent="0.2">
      <c r="A201" s="11" t="s">
        <v>208</v>
      </c>
      <c r="B201" s="12">
        <v>88</v>
      </c>
      <c r="C201" s="12">
        <v>86</v>
      </c>
      <c r="D201" s="12">
        <v>87</v>
      </c>
      <c r="E201" s="7">
        <v>86.95</v>
      </c>
      <c r="F201" s="8" t="str">
        <f t="shared" si="4"/>
        <v>PASSED</v>
      </c>
      <c r="G201" s="20">
        <v>1.6910000000000001</v>
      </c>
      <c r="H201" s="25">
        <v>45383</v>
      </c>
    </row>
    <row r="202" spans="1:8" ht="12.75" x14ac:dyDescent="0.2">
      <c r="A202" s="11" t="s">
        <v>209</v>
      </c>
      <c r="B202" s="12">
        <v>80</v>
      </c>
      <c r="C202" s="12">
        <v>81</v>
      </c>
      <c r="D202" s="12">
        <v>78</v>
      </c>
      <c r="E202" s="7">
        <v>79.400000000000006</v>
      </c>
      <c r="F202" s="8" t="str">
        <f t="shared" si="4"/>
        <v>PASSED</v>
      </c>
      <c r="G202" s="20">
        <v>1.86</v>
      </c>
      <c r="H202" s="25">
        <v>45383</v>
      </c>
    </row>
    <row r="203" spans="1:8" ht="12.75" x14ac:dyDescent="0.2">
      <c r="A203" s="11" t="s">
        <v>210</v>
      </c>
      <c r="B203" s="12">
        <v>79</v>
      </c>
      <c r="C203" s="12">
        <v>77</v>
      </c>
      <c r="D203" s="12">
        <v>74</v>
      </c>
      <c r="E203" s="7">
        <v>76.150000000000006</v>
      </c>
      <c r="F203" s="8" t="str">
        <f t="shared" si="4"/>
        <v>PASSED</v>
      </c>
      <c r="G203" s="20">
        <v>2.17</v>
      </c>
      <c r="H203" s="25">
        <v>45383</v>
      </c>
    </row>
    <row r="204" spans="1:8" ht="12.75" x14ac:dyDescent="0.2">
      <c r="A204" s="11" t="s">
        <v>211</v>
      </c>
      <c r="B204" s="12">
        <v>80</v>
      </c>
      <c r="C204" s="12">
        <v>75</v>
      </c>
      <c r="D204" s="12">
        <v>84</v>
      </c>
      <c r="E204" s="7">
        <v>80.3</v>
      </c>
      <c r="F204" s="8" t="str">
        <f t="shared" si="4"/>
        <v>PASSED</v>
      </c>
      <c r="G204" s="20">
        <v>1.712</v>
      </c>
      <c r="H204" s="25">
        <v>45383</v>
      </c>
    </row>
    <row r="205" spans="1:8" ht="12.75" x14ac:dyDescent="0.2">
      <c r="A205" s="11" t="s">
        <v>212</v>
      </c>
      <c r="B205" s="12">
        <v>89</v>
      </c>
      <c r="C205" s="12">
        <v>81</v>
      </c>
      <c r="D205" s="12">
        <v>89</v>
      </c>
      <c r="E205" s="7">
        <v>86.6</v>
      </c>
      <c r="F205" s="8" t="str">
        <f t="shared" si="4"/>
        <v>PASSED</v>
      </c>
      <c r="G205" s="20">
        <v>1.72</v>
      </c>
      <c r="H205" s="25">
        <v>45383</v>
      </c>
    </row>
    <row r="206" spans="1:8" ht="12.75" x14ac:dyDescent="0.2">
      <c r="A206" s="11" t="s">
        <v>214</v>
      </c>
      <c r="B206" s="12">
        <v>83</v>
      </c>
      <c r="C206" s="12">
        <v>79</v>
      </c>
      <c r="D206" s="12">
        <v>72</v>
      </c>
      <c r="E206" s="7">
        <v>76.849999999999994</v>
      </c>
      <c r="F206" s="8" t="str">
        <f t="shared" si="4"/>
        <v>PASSED</v>
      </c>
      <c r="G206" s="20">
        <v>2.56</v>
      </c>
      <c r="H206" s="25">
        <v>45383</v>
      </c>
    </row>
    <row r="207" spans="1:8" ht="12.75" x14ac:dyDescent="0.2">
      <c r="A207" s="11" t="s">
        <v>215</v>
      </c>
      <c r="B207" s="12">
        <v>79</v>
      </c>
      <c r="C207" s="12">
        <v>78</v>
      </c>
      <c r="D207" s="12">
        <v>82</v>
      </c>
      <c r="E207" s="7">
        <v>80.05</v>
      </c>
      <c r="F207" s="8" t="str">
        <f t="shared" si="4"/>
        <v>PASSED</v>
      </c>
      <c r="G207" s="20">
        <v>1.81</v>
      </c>
      <c r="H207" s="25">
        <v>45383</v>
      </c>
    </row>
    <row r="208" spans="1:8" ht="12.75" x14ac:dyDescent="0.2">
      <c r="A208" s="11" t="s">
        <v>217</v>
      </c>
      <c r="B208" s="12">
        <v>83</v>
      </c>
      <c r="C208" s="12">
        <v>77</v>
      </c>
      <c r="D208" s="12">
        <v>80</v>
      </c>
      <c r="E208" s="7">
        <v>79.849999999999994</v>
      </c>
      <c r="F208" s="8" t="str">
        <f t="shared" si="4"/>
        <v>PASSED</v>
      </c>
      <c r="G208" s="20">
        <v>1.75</v>
      </c>
      <c r="H208" s="25">
        <v>45383</v>
      </c>
    </row>
    <row r="209" spans="1:8" ht="12.75" x14ac:dyDescent="0.2">
      <c r="A209" s="11" t="s">
        <v>218</v>
      </c>
      <c r="B209" s="12">
        <v>81</v>
      </c>
      <c r="C209" s="12">
        <v>74</v>
      </c>
      <c r="D209" s="12">
        <v>73</v>
      </c>
      <c r="E209" s="7">
        <v>75.3</v>
      </c>
      <c r="F209" s="8" t="str">
        <f t="shared" si="4"/>
        <v>PASSED</v>
      </c>
      <c r="G209" s="20">
        <v>2.19</v>
      </c>
      <c r="H209" s="25">
        <v>45383</v>
      </c>
    </row>
    <row r="210" spans="1:8" ht="12.75" x14ac:dyDescent="0.2">
      <c r="A210" s="11" t="s">
        <v>219</v>
      </c>
      <c r="B210" s="12">
        <v>87</v>
      </c>
      <c r="C210" s="12">
        <v>81</v>
      </c>
      <c r="D210" s="12">
        <v>80</v>
      </c>
      <c r="E210" s="7">
        <v>82.05</v>
      </c>
      <c r="F210" s="8" t="str">
        <f t="shared" si="4"/>
        <v>PASSED</v>
      </c>
      <c r="G210" s="20">
        <v>1.94</v>
      </c>
      <c r="H210" s="25">
        <v>45383</v>
      </c>
    </row>
    <row r="211" spans="1:8" ht="12.75" x14ac:dyDescent="0.2">
      <c r="A211" s="11" t="s">
        <v>220</v>
      </c>
      <c r="B211" s="12">
        <v>86</v>
      </c>
      <c r="C211" s="12">
        <v>81</v>
      </c>
      <c r="D211" s="12">
        <v>82</v>
      </c>
      <c r="E211" s="7">
        <v>82.7</v>
      </c>
      <c r="F211" s="8" t="str">
        <f t="shared" si="4"/>
        <v>PASSED</v>
      </c>
      <c r="G211" s="8">
        <v>1.87</v>
      </c>
      <c r="H211" s="26">
        <v>45383</v>
      </c>
    </row>
    <row r="212" spans="1:8" ht="12.75" x14ac:dyDescent="0.2">
      <c r="A212" s="11" t="s">
        <v>221</v>
      </c>
      <c r="B212" s="12">
        <v>72</v>
      </c>
      <c r="C212" s="12">
        <v>74</v>
      </c>
      <c r="D212" s="12">
        <v>71</v>
      </c>
      <c r="E212" s="7">
        <v>72.150000000000006</v>
      </c>
      <c r="F212" s="8" t="str">
        <f t="shared" si="4"/>
        <v>PASSED</v>
      </c>
      <c r="G212" s="8">
        <v>1.82</v>
      </c>
      <c r="H212" s="26">
        <v>45383</v>
      </c>
    </row>
    <row r="213" spans="1:8" ht="12.75" x14ac:dyDescent="0.2">
      <c r="A213" s="11" t="s">
        <v>222</v>
      </c>
      <c r="B213" s="12">
        <v>92</v>
      </c>
      <c r="C213" s="12">
        <v>89</v>
      </c>
      <c r="D213" s="12">
        <v>93</v>
      </c>
      <c r="E213" s="7">
        <v>91.55</v>
      </c>
      <c r="F213" s="8" t="str">
        <f t="shared" si="4"/>
        <v>PASSED</v>
      </c>
      <c r="G213" s="8">
        <v>1.6439999999999999</v>
      </c>
      <c r="H213" s="26">
        <v>45383</v>
      </c>
    </row>
    <row r="214" spans="1:8" ht="12.75" x14ac:dyDescent="0.2">
      <c r="A214" s="11" t="s">
        <v>223</v>
      </c>
      <c r="B214" s="12">
        <v>70</v>
      </c>
      <c r="C214" s="12">
        <v>70</v>
      </c>
      <c r="D214" s="12">
        <v>70</v>
      </c>
      <c r="E214" s="7">
        <v>70</v>
      </c>
      <c r="F214" s="8" t="str">
        <f t="shared" si="4"/>
        <v>PASSED</v>
      </c>
      <c r="G214" s="8">
        <v>2.0129999999999999</v>
      </c>
      <c r="H214" s="26">
        <v>45383</v>
      </c>
    </row>
    <row r="215" spans="1:8" ht="12.75" x14ac:dyDescent="0.2">
      <c r="A215" s="11" t="s">
        <v>224</v>
      </c>
      <c r="B215" s="12">
        <v>81</v>
      </c>
      <c r="C215" s="12">
        <v>74</v>
      </c>
      <c r="D215" s="12">
        <v>74</v>
      </c>
      <c r="E215" s="7">
        <v>75.75</v>
      </c>
      <c r="F215" s="8" t="str">
        <f t="shared" si="4"/>
        <v>PASSED</v>
      </c>
      <c r="G215" s="8">
        <v>1.512</v>
      </c>
      <c r="H215" s="26">
        <v>45383</v>
      </c>
    </row>
    <row r="216" spans="1:8" ht="12.75" x14ac:dyDescent="0.2">
      <c r="A216" s="11" t="s">
        <v>225</v>
      </c>
      <c r="B216" s="12">
        <v>94</v>
      </c>
      <c r="C216" s="12">
        <v>88</v>
      </c>
      <c r="D216" s="12">
        <v>92</v>
      </c>
      <c r="E216" s="7">
        <v>91.3</v>
      </c>
      <c r="F216" s="8" t="str">
        <f t="shared" si="4"/>
        <v>PASSED</v>
      </c>
      <c r="G216" s="8">
        <v>1.56</v>
      </c>
      <c r="H216" s="26">
        <v>45383</v>
      </c>
    </row>
    <row r="217" spans="1:8" ht="12.75" x14ac:dyDescent="0.2">
      <c r="A217" s="11" t="s">
        <v>226</v>
      </c>
      <c r="B217" s="12">
        <v>70</v>
      </c>
      <c r="C217" s="12">
        <v>70</v>
      </c>
      <c r="D217" s="12">
        <v>71</v>
      </c>
      <c r="E217" s="7">
        <v>70.45</v>
      </c>
      <c r="F217" s="8" t="str">
        <f t="shared" si="4"/>
        <v>PASSED</v>
      </c>
      <c r="G217" s="8">
        <v>1.82</v>
      </c>
      <c r="H217" s="26">
        <v>45383</v>
      </c>
    </row>
    <row r="218" spans="1:8" ht="12.75" x14ac:dyDescent="0.2">
      <c r="A218" s="11" t="s">
        <v>228</v>
      </c>
      <c r="B218" s="12">
        <v>82</v>
      </c>
      <c r="C218" s="12">
        <v>72</v>
      </c>
      <c r="D218" s="12">
        <v>78</v>
      </c>
      <c r="E218" s="7">
        <v>77.2</v>
      </c>
      <c r="F218" s="8" t="str">
        <f t="shared" si="4"/>
        <v>PASSED</v>
      </c>
      <c r="G218" s="8">
        <v>1.72</v>
      </c>
      <c r="H218" s="26">
        <v>45383</v>
      </c>
    </row>
    <row r="219" spans="1:8" ht="12.75" x14ac:dyDescent="0.2">
      <c r="A219" s="11" t="s">
        <v>229</v>
      </c>
      <c r="B219" s="12">
        <v>74</v>
      </c>
      <c r="C219" s="12">
        <v>69</v>
      </c>
      <c r="D219" s="12">
        <v>75</v>
      </c>
      <c r="E219" s="7">
        <v>72.95</v>
      </c>
      <c r="F219" s="8" t="str">
        <f t="shared" si="4"/>
        <v>PASSED</v>
      </c>
      <c r="G219" s="8">
        <v>1.982</v>
      </c>
      <c r="H219" s="26">
        <v>45383</v>
      </c>
    </row>
    <row r="220" spans="1:8" ht="12.75" x14ac:dyDescent="0.2">
      <c r="A220" s="11" t="s">
        <v>230</v>
      </c>
      <c r="B220" s="12">
        <v>82</v>
      </c>
      <c r="C220" s="12">
        <v>77</v>
      </c>
      <c r="D220" s="12">
        <v>74</v>
      </c>
      <c r="E220" s="7">
        <v>76.900000000000006</v>
      </c>
      <c r="F220" s="8" t="str">
        <f t="shared" si="4"/>
        <v>PASSED</v>
      </c>
      <c r="G220" s="8">
        <v>1.7</v>
      </c>
      <c r="H220" s="26">
        <v>45383</v>
      </c>
    </row>
    <row r="221" spans="1:8" ht="12.75" x14ac:dyDescent="0.2">
      <c r="A221" s="11" t="s">
        <v>231</v>
      </c>
      <c r="B221" s="12">
        <v>80</v>
      </c>
      <c r="C221" s="12">
        <v>80</v>
      </c>
      <c r="D221" s="12">
        <v>75</v>
      </c>
      <c r="E221" s="7">
        <v>77.75</v>
      </c>
      <c r="F221" s="8" t="str">
        <f t="shared" si="4"/>
        <v>PASSED</v>
      </c>
      <c r="G221" s="8">
        <v>1.82</v>
      </c>
      <c r="H221" s="26">
        <v>45383</v>
      </c>
    </row>
    <row r="222" spans="1:8" ht="12.75" x14ac:dyDescent="0.2">
      <c r="A222" s="11" t="s">
        <v>232</v>
      </c>
      <c r="B222" s="12">
        <v>87</v>
      </c>
      <c r="C222" s="12">
        <v>87</v>
      </c>
      <c r="D222" s="12">
        <v>84</v>
      </c>
      <c r="E222" s="7">
        <v>85.65</v>
      </c>
      <c r="F222" s="8" t="str">
        <f t="shared" si="4"/>
        <v>PASSED</v>
      </c>
      <c r="G222" s="8">
        <v>1.71</v>
      </c>
      <c r="H222" s="26">
        <v>45383</v>
      </c>
    </row>
    <row r="223" spans="1:8" ht="12.75" x14ac:dyDescent="0.2">
      <c r="A223" s="11" t="s">
        <v>233</v>
      </c>
      <c r="B223" s="12">
        <v>87</v>
      </c>
      <c r="C223" s="12">
        <v>78</v>
      </c>
      <c r="D223" s="12">
        <v>80</v>
      </c>
      <c r="E223" s="7">
        <v>81.150000000000006</v>
      </c>
      <c r="F223" s="8" t="str">
        <f t="shared" si="4"/>
        <v>PASSED</v>
      </c>
      <c r="G223" s="8">
        <v>1.83</v>
      </c>
      <c r="H223" s="26">
        <v>45383</v>
      </c>
    </row>
    <row r="224" spans="1:8" ht="12.75" x14ac:dyDescent="0.2">
      <c r="A224" s="11" t="s">
        <v>234</v>
      </c>
      <c r="B224" s="12">
        <v>86</v>
      </c>
      <c r="C224" s="12">
        <v>87</v>
      </c>
      <c r="D224" s="12">
        <v>90</v>
      </c>
      <c r="E224" s="7">
        <v>88.1</v>
      </c>
      <c r="F224" s="8" t="str">
        <f t="shared" si="4"/>
        <v>PASSED</v>
      </c>
      <c r="G224" s="8">
        <v>1.46</v>
      </c>
      <c r="H224" s="26">
        <v>45383</v>
      </c>
    </row>
    <row r="225" spans="1:8" ht="12.75" x14ac:dyDescent="0.2">
      <c r="A225" s="11" t="s">
        <v>166</v>
      </c>
      <c r="B225" s="12">
        <v>72</v>
      </c>
      <c r="C225" s="12">
        <v>53</v>
      </c>
      <c r="D225" s="12">
        <v>55</v>
      </c>
      <c r="E225" s="10">
        <v>58.55</v>
      </c>
      <c r="F225" s="8" t="s">
        <v>256</v>
      </c>
      <c r="G225" s="20">
        <v>1.98</v>
      </c>
      <c r="H225" s="25">
        <v>45383</v>
      </c>
    </row>
    <row r="226" spans="1:8" ht="12.75" x14ac:dyDescent="0.2">
      <c r="A226" s="11" t="s">
        <v>168</v>
      </c>
      <c r="B226" s="12">
        <v>63</v>
      </c>
      <c r="C226" s="12">
        <v>69</v>
      </c>
      <c r="D226" s="12">
        <v>70</v>
      </c>
      <c r="E226" s="10">
        <v>67.95</v>
      </c>
      <c r="F226" s="8" t="s">
        <v>256</v>
      </c>
      <c r="G226" s="20">
        <v>1.77</v>
      </c>
      <c r="H226" s="25">
        <v>45383</v>
      </c>
    </row>
    <row r="227" spans="1:8" ht="12.75" x14ac:dyDescent="0.2">
      <c r="A227" s="11" t="s">
        <v>200</v>
      </c>
      <c r="B227" s="12">
        <v>71</v>
      </c>
      <c r="C227" s="12">
        <v>67</v>
      </c>
      <c r="D227" s="12">
        <v>52</v>
      </c>
      <c r="E227" s="10">
        <v>61.25</v>
      </c>
      <c r="F227" s="8" t="s">
        <v>256</v>
      </c>
      <c r="G227" s="20">
        <v>1.82</v>
      </c>
      <c r="H227" s="25">
        <v>45383</v>
      </c>
    </row>
    <row r="228" spans="1:8" ht="15" x14ac:dyDescent="0.25">
      <c r="A228" s="11" t="s">
        <v>202</v>
      </c>
      <c r="B228" s="12">
        <v>71</v>
      </c>
      <c r="C228" s="12">
        <v>67</v>
      </c>
      <c r="D228" s="12">
        <v>52</v>
      </c>
      <c r="E228" s="10">
        <v>61.25</v>
      </c>
      <c r="F228" s="8" t="s">
        <v>256</v>
      </c>
      <c r="G228" s="22">
        <v>1.825</v>
      </c>
      <c r="H228" s="25">
        <v>45383</v>
      </c>
    </row>
    <row r="229" spans="1:8" ht="12.75" x14ac:dyDescent="0.2">
      <c r="A229" s="11" t="s">
        <v>204</v>
      </c>
      <c r="B229" s="12">
        <v>38</v>
      </c>
      <c r="C229" s="12">
        <v>45</v>
      </c>
      <c r="D229" s="12">
        <v>59</v>
      </c>
      <c r="E229" s="10">
        <v>49.55</v>
      </c>
      <c r="F229" s="8" t="s">
        <v>256</v>
      </c>
      <c r="G229" s="20">
        <v>1.7808999999999999</v>
      </c>
      <c r="H229" s="25">
        <v>45383</v>
      </c>
    </row>
    <row r="230" spans="1:8" ht="12.75" x14ac:dyDescent="0.2">
      <c r="A230" s="11" t="s">
        <v>213</v>
      </c>
      <c r="B230" s="12">
        <v>34</v>
      </c>
      <c r="C230" s="12">
        <v>52</v>
      </c>
      <c r="D230" s="12">
        <v>48</v>
      </c>
      <c r="E230" s="10">
        <v>45.7</v>
      </c>
      <c r="F230" s="8" t="s">
        <v>256</v>
      </c>
      <c r="G230" s="20">
        <v>2.2599999999999998</v>
      </c>
      <c r="H230" s="25">
        <v>45383</v>
      </c>
    </row>
    <row r="231" spans="1:8" ht="12.75" x14ac:dyDescent="0.2">
      <c r="A231" s="11" t="s">
        <v>216</v>
      </c>
      <c r="B231" s="12">
        <v>73</v>
      </c>
      <c r="C231" s="12">
        <v>75</v>
      </c>
      <c r="D231" s="12">
        <v>59</v>
      </c>
      <c r="E231" s="10">
        <v>67.3</v>
      </c>
      <c r="F231" s="8" t="s">
        <v>256</v>
      </c>
      <c r="G231" s="20">
        <v>1.89</v>
      </c>
      <c r="H231" s="25">
        <v>45383</v>
      </c>
    </row>
    <row r="232" spans="1:8" ht="12.75" x14ac:dyDescent="0.2">
      <c r="A232" s="11" t="s">
        <v>227</v>
      </c>
      <c r="B232" s="12">
        <v>67</v>
      </c>
      <c r="C232" s="12">
        <v>63</v>
      </c>
      <c r="D232" s="12">
        <v>70</v>
      </c>
      <c r="E232" s="10">
        <v>67.150000000000006</v>
      </c>
      <c r="F232" s="8" t="s">
        <v>256</v>
      </c>
      <c r="G232" s="20">
        <v>1.92</v>
      </c>
      <c r="H232" s="25">
        <v>45383</v>
      </c>
    </row>
    <row r="233" spans="1:8" ht="12.75" x14ac:dyDescent="0.2">
      <c r="A233" s="11" t="s">
        <v>157</v>
      </c>
      <c r="B233" s="12">
        <v>70</v>
      </c>
      <c r="C233" s="12">
        <v>66</v>
      </c>
      <c r="D233" s="12">
        <v>57</v>
      </c>
      <c r="E233" s="10">
        <v>62.95</v>
      </c>
      <c r="F233" s="8" t="s">
        <v>256</v>
      </c>
      <c r="G233" s="20">
        <v>1.78</v>
      </c>
      <c r="H233" s="25">
        <v>45383</v>
      </c>
    </row>
    <row r="234" spans="1:8" ht="12.75" x14ac:dyDescent="0.2">
      <c r="A234" s="11" t="s">
        <v>235</v>
      </c>
      <c r="B234" s="12">
        <v>52</v>
      </c>
      <c r="C234" s="12">
        <v>55</v>
      </c>
      <c r="D234" s="12">
        <v>50</v>
      </c>
      <c r="E234" s="10">
        <v>52</v>
      </c>
      <c r="F234" s="8" t="s">
        <v>256</v>
      </c>
      <c r="G234" s="20">
        <v>1.97</v>
      </c>
      <c r="H234" s="25">
        <v>45383</v>
      </c>
    </row>
    <row r="235" spans="1:8" ht="12.75" x14ac:dyDescent="0.2">
      <c r="A235" s="11" t="s">
        <v>106</v>
      </c>
      <c r="B235" s="12">
        <v>53</v>
      </c>
      <c r="C235" s="12">
        <v>50</v>
      </c>
      <c r="D235" s="12">
        <v>43</v>
      </c>
      <c r="E235" s="10">
        <v>47.6</v>
      </c>
      <c r="F235" s="8" t="s">
        <v>256</v>
      </c>
      <c r="G235" s="8">
        <v>2.15</v>
      </c>
      <c r="H235" s="26">
        <v>45383</v>
      </c>
    </row>
    <row r="236" spans="1:8" ht="12.75" x14ac:dyDescent="0.2">
      <c r="A236" s="11" t="s">
        <v>236</v>
      </c>
      <c r="B236" s="12">
        <v>64</v>
      </c>
      <c r="C236" s="12">
        <v>71</v>
      </c>
      <c r="D236" s="12">
        <v>60</v>
      </c>
      <c r="E236" s="10">
        <v>64.3</v>
      </c>
      <c r="F236" s="8" t="s">
        <v>256</v>
      </c>
      <c r="G236" s="8">
        <v>1.88</v>
      </c>
      <c r="H236" s="26">
        <v>45383</v>
      </c>
    </row>
    <row r="237" spans="1:8" ht="12.75" x14ac:dyDescent="0.2">
      <c r="A237" s="11" t="s">
        <v>237</v>
      </c>
      <c r="B237" s="12">
        <v>67</v>
      </c>
      <c r="C237" s="12">
        <v>66</v>
      </c>
      <c r="D237" s="12">
        <v>53</v>
      </c>
      <c r="E237" s="10">
        <v>60.4</v>
      </c>
      <c r="F237" s="8" t="s">
        <v>256</v>
      </c>
      <c r="G237" s="8">
        <v>2.052</v>
      </c>
      <c r="H237" s="26">
        <v>45383</v>
      </c>
    </row>
    <row r="238" spans="1:8" ht="12.75" x14ac:dyDescent="0.2">
      <c r="A238" s="11" t="s">
        <v>238</v>
      </c>
      <c r="B238" s="12">
        <v>72</v>
      </c>
      <c r="C238" s="12">
        <v>63</v>
      </c>
      <c r="D238" s="12">
        <v>49</v>
      </c>
      <c r="E238" s="10">
        <v>58.95</v>
      </c>
      <c r="F238" s="8" t="s">
        <v>256</v>
      </c>
      <c r="G238" s="8">
        <v>1.71</v>
      </c>
      <c r="H238" s="26">
        <v>45383</v>
      </c>
    </row>
    <row r="239" spans="1:8" ht="12.75" x14ac:dyDescent="0.2">
      <c r="A239" s="11" t="s">
        <v>239</v>
      </c>
      <c r="B239" s="12">
        <v>84</v>
      </c>
      <c r="C239" s="12">
        <v>83</v>
      </c>
      <c r="D239" s="12">
        <v>83</v>
      </c>
      <c r="E239" s="7">
        <v>83.25</v>
      </c>
      <c r="F239" s="8" t="str">
        <f t="shared" ref="F239:F246" si="5">IF(E239&gt;=70,"PASSED", "---")</f>
        <v>PASSED</v>
      </c>
      <c r="G239" s="20">
        <v>1.89</v>
      </c>
      <c r="H239" s="25">
        <v>45505</v>
      </c>
    </row>
    <row r="240" spans="1:8" ht="15" x14ac:dyDescent="0.25">
      <c r="A240" s="18" t="s">
        <v>240</v>
      </c>
      <c r="B240" s="19">
        <v>89</v>
      </c>
      <c r="C240" s="19">
        <v>80</v>
      </c>
      <c r="D240" s="19">
        <v>84</v>
      </c>
      <c r="E240" s="7">
        <v>84.05</v>
      </c>
      <c r="F240" s="8" t="str">
        <f t="shared" si="5"/>
        <v>PASSED</v>
      </c>
      <c r="G240" s="20">
        <v>1.583</v>
      </c>
      <c r="H240" s="25">
        <v>45505</v>
      </c>
    </row>
    <row r="241" spans="1:8" ht="15" x14ac:dyDescent="0.25">
      <c r="A241" s="18" t="s">
        <v>242</v>
      </c>
      <c r="B241" s="19">
        <v>75</v>
      </c>
      <c r="C241" s="19">
        <v>73</v>
      </c>
      <c r="D241" s="19">
        <v>72</v>
      </c>
      <c r="E241" s="7">
        <v>73.05</v>
      </c>
      <c r="F241" s="8" t="str">
        <f t="shared" si="5"/>
        <v>PASSED</v>
      </c>
      <c r="G241" s="20">
        <v>1.732</v>
      </c>
      <c r="H241" s="25">
        <v>45505</v>
      </c>
    </row>
    <row r="242" spans="1:8" ht="15" x14ac:dyDescent="0.25">
      <c r="A242" s="18" t="s">
        <v>244</v>
      </c>
      <c r="B242" s="19">
        <v>72</v>
      </c>
      <c r="C242" s="19">
        <v>75</v>
      </c>
      <c r="D242" s="19">
        <v>80</v>
      </c>
      <c r="E242" s="7">
        <v>76.5</v>
      </c>
      <c r="F242" s="8" t="str">
        <f t="shared" si="5"/>
        <v>PASSED</v>
      </c>
      <c r="G242" s="20">
        <v>1.82</v>
      </c>
      <c r="H242" s="25">
        <v>45505</v>
      </c>
    </row>
    <row r="243" spans="1:8" ht="15" x14ac:dyDescent="0.25">
      <c r="A243" s="18" t="s">
        <v>245</v>
      </c>
      <c r="B243" s="19">
        <v>84</v>
      </c>
      <c r="C243" s="19">
        <v>81</v>
      </c>
      <c r="D243" s="19">
        <v>89</v>
      </c>
      <c r="E243" s="7">
        <v>85.35</v>
      </c>
      <c r="F243" s="8" t="str">
        <f t="shared" si="5"/>
        <v>PASSED</v>
      </c>
      <c r="G243" s="8">
        <v>1.87</v>
      </c>
      <c r="H243" s="25">
        <v>45505</v>
      </c>
    </row>
    <row r="244" spans="1:8" ht="15" x14ac:dyDescent="0.25">
      <c r="A244" s="18" t="s">
        <v>0</v>
      </c>
      <c r="B244" s="19">
        <v>70</v>
      </c>
      <c r="C244" s="19">
        <v>70</v>
      </c>
      <c r="D244" s="19">
        <v>70</v>
      </c>
      <c r="E244" s="7">
        <v>70</v>
      </c>
      <c r="F244" s="8" t="str">
        <f t="shared" si="5"/>
        <v>PASSED</v>
      </c>
      <c r="G244" s="23">
        <v>2.52</v>
      </c>
      <c r="H244" s="25">
        <v>45505</v>
      </c>
    </row>
    <row r="245" spans="1:8" ht="12.75" x14ac:dyDescent="0.2">
      <c r="A245" s="11" t="s">
        <v>247</v>
      </c>
      <c r="B245" s="12">
        <v>82</v>
      </c>
      <c r="C245" s="12">
        <v>78</v>
      </c>
      <c r="D245" s="12">
        <v>74</v>
      </c>
      <c r="E245" s="7">
        <v>77.2</v>
      </c>
      <c r="F245" s="8" t="str">
        <f t="shared" si="5"/>
        <v>PASSED</v>
      </c>
      <c r="G245" s="8">
        <v>2.31</v>
      </c>
      <c r="H245" s="25">
        <v>45505</v>
      </c>
    </row>
    <row r="246" spans="1:8" ht="12.75" x14ac:dyDescent="0.2">
      <c r="A246" s="11" t="s">
        <v>248</v>
      </c>
      <c r="B246" s="12">
        <v>72</v>
      </c>
      <c r="C246" s="12">
        <v>71</v>
      </c>
      <c r="D246" s="12">
        <v>72</v>
      </c>
      <c r="E246" s="7">
        <v>71.7</v>
      </c>
      <c r="F246" s="8" t="str">
        <f t="shared" si="5"/>
        <v>PASSED</v>
      </c>
      <c r="G246" s="8">
        <v>2.15</v>
      </c>
      <c r="H246" s="25">
        <v>45505</v>
      </c>
    </row>
    <row r="247" spans="1:8" ht="15" x14ac:dyDescent="0.25">
      <c r="A247" s="18" t="s">
        <v>241</v>
      </c>
      <c r="B247" s="19">
        <v>50</v>
      </c>
      <c r="C247" s="19">
        <v>63</v>
      </c>
      <c r="D247" s="19">
        <v>64</v>
      </c>
      <c r="E247" s="10">
        <v>60.2</v>
      </c>
      <c r="F247" s="8" t="s">
        <v>256</v>
      </c>
      <c r="G247" s="22">
        <v>1.68</v>
      </c>
      <c r="H247" s="25">
        <v>45505</v>
      </c>
    </row>
    <row r="248" spans="1:8" ht="15" x14ac:dyDescent="0.25">
      <c r="A248" s="18" t="s">
        <v>243</v>
      </c>
      <c r="B248" s="19">
        <v>71</v>
      </c>
      <c r="C248" s="19">
        <v>71</v>
      </c>
      <c r="D248" s="19">
        <v>63</v>
      </c>
      <c r="E248" s="10">
        <v>67.400000000000006</v>
      </c>
      <c r="F248" s="8" t="s">
        <v>256</v>
      </c>
      <c r="G248" s="20">
        <v>1.81</v>
      </c>
      <c r="H248" s="25">
        <v>45505</v>
      </c>
    </row>
    <row r="249" spans="1:8" ht="15" x14ac:dyDescent="0.25">
      <c r="A249" s="18" t="s">
        <v>246</v>
      </c>
      <c r="B249" s="19">
        <v>57</v>
      </c>
      <c r="C249" s="19">
        <v>64</v>
      </c>
      <c r="D249" s="19">
        <v>48</v>
      </c>
      <c r="E249" s="10">
        <v>55.05</v>
      </c>
      <c r="F249" s="8" t="s">
        <v>256</v>
      </c>
      <c r="G249" s="20">
        <v>2.0960000000000001</v>
      </c>
      <c r="H249" s="25">
        <v>45505</v>
      </c>
    </row>
    <row r="250" spans="1:8" ht="15" x14ac:dyDescent="0.25">
      <c r="A250" s="18" t="s">
        <v>249</v>
      </c>
      <c r="B250" s="19">
        <v>59</v>
      </c>
      <c r="C250" s="19">
        <v>71</v>
      </c>
      <c r="D250" s="19">
        <v>57</v>
      </c>
      <c r="E250" s="10">
        <v>61.7</v>
      </c>
      <c r="F250" s="8" t="s">
        <v>256</v>
      </c>
      <c r="G250" s="20">
        <v>2.36</v>
      </c>
      <c r="H250" s="25">
        <v>45505</v>
      </c>
    </row>
    <row r="251" spans="1:8" ht="12.75" x14ac:dyDescent="0.2">
      <c r="A251" s="11" t="s">
        <v>250</v>
      </c>
      <c r="B251" s="12">
        <v>57</v>
      </c>
      <c r="C251" s="12">
        <v>60</v>
      </c>
      <c r="D251" s="12">
        <v>48</v>
      </c>
      <c r="E251" s="10">
        <v>53.85</v>
      </c>
      <c r="F251" s="8" t="s">
        <v>256</v>
      </c>
      <c r="G251" s="20">
        <v>2.52</v>
      </c>
      <c r="H251" s="25">
        <v>45505</v>
      </c>
    </row>
  </sheetData>
  <conditionalFormatting sqref="F12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2026-03-24T23:20:43Z</dcterms:modified>
</cp:coreProperties>
</file>