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backend\"/>
    </mc:Choice>
  </mc:AlternateContent>
  <xr:revisionPtr revIDLastSave="0" documentId="13_ncr:1_{16C47095-4595-45D1-B2D3-A404F6C8F572}" xr6:coauthVersionLast="47" xr6:coauthVersionMax="47" xr10:uidLastSave="{00000000-0000-0000-0000-000000000000}"/>
  <bookViews>
    <workbookView xWindow="2790" yWindow="4185" windowWidth="21600" windowHeight="11295" xr2:uid="{00000000-000D-0000-FFFF-FFFF00000000}"/>
  </bookViews>
  <sheets>
    <sheet name="Copy of DATA_EVALUATIO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7" i="6"/>
  <c r="F6" i="6"/>
  <c r="F5" i="6"/>
  <c r="F4" i="6"/>
</calcChain>
</file>

<file path=xl/sharedStrings.xml><?xml version="1.0" encoding="utf-8"?>
<sst xmlns="http://schemas.openxmlformats.org/spreadsheetml/2006/main" count="390" uniqueCount="153">
  <si>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</si>
  <si>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</si>
  <si>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</si>
  <si>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</si>
  <si>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</si>
  <si>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</si>
  <si>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</si>
  <si>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</si>
  <si>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</si>
  <si>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</si>
  <si>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</si>
  <si>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</si>
  <si>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</si>
  <si>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</si>
  <si>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</si>
  <si>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</si>
  <si>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</si>
  <si>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</si>
  <si>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</si>
  <si>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</si>
  <si>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</si>
  <si>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</si>
  <si>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</si>
  <si>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</si>
  <si>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</si>
  <si>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</si>
  <si>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</si>
  <si>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</si>
  <si>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</si>
  <si>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</si>
  <si>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</si>
  <si>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</si>
  <si>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</si>
  <si>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</si>
  <si>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</si>
  <si>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</si>
  <si>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</si>
  <si>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</si>
  <si>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</si>
  <si>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</si>
  <si>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</si>
  <si>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</si>
  <si>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</si>
  <si>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</si>
  <si>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</si>
  <si>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</si>
  <si>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</si>
  <si>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</si>
  <si>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</si>
  <si>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</si>
  <si>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</si>
  <si>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</si>
  <si>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</si>
  <si>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</si>
  <si>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</si>
  <si>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</si>
  <si>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</si>
  <si>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</si>
  <si>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</si>
  <si>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</si>
  <si>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</si>
  <si>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</si>
  <si>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</si>
  <si>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</si>
  <si>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</si>
  <si>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</si>
  <si>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</si>
  <si>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</si>
  <si>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</si>
  <si>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</si>
  <si>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</si>
  <si>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</si>
  <si>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</si>
  <si>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</si>
  <si>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</si>
  <si>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</si>
  <si>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</si>
  <si>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</si>
  <si>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</si>
  <si>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</si>
  <si>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</si>
  <si>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</si>
  <si>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</si>
  <si>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</si>
  <si>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</si>
  <si>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</si>
  <si>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</si>
  <si>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</si>
  <si>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</si>
  <si>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</si>
  <si>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</si>
  <si>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</si>
  <si>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Lack of time, Work-related responsibilities</t>
  </si>
  <si>
    <t>Availability of slots</t>
  </si>
  <si>
    <t>Agree</t>
  </si>
  <si>
    <t>6 months</t>
  </si>
  <si>
    <t>YES</t>
  </si>
  <si>
    <t>STEM</t>
  </si>
  <si>
    <t>Lack of time</t>
  </si>
  <si>
    <t>Neutral</t>
  </si>
  <si>
    <t>Time constraints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</si>
  <si>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</si>
  <si>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</si>
  <si>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</si>
  <si>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</si>
  <si>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</si>
  <si>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</si>
  <si>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</t>
  </si>
  <si>
    <t>Online review materials</t>
  </si>
  <si>
    <t>Parents / Family influence</t>
  </si>
  <si>
    <t>HUMMS</t>
  </si>
  <si>
    <t>Work-related responsibilities</t>
  </si>
  <si>
    <t>Sore, John Carlo Aguado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</si>
  <si>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</si>
  <si>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</si>
  <si>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</si>
  <si>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</si>
  <si>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</si>
  <si>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</si>
  <si>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</si>
  <si>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</si>
  <si>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</si>
  <si>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FAILED</t>
  </si>
  <si>
    <t>Organo, Christine Camile Maris</t>
  </si>
  <si>
    <t>Arceta, John Daryl Lavado</t>
  </si>
  <si>
    <t>Fabie, Renzon Francia</t>
  </si>
  <si>
    <t>Abella, Arjay Rama</t>
  </si>
  <si>
    <t>Alcaide, Jonel Cabrera</t>
  </si>
  <si>
    <t>Alcoreza, Kathricia Rose Alcala</t>
  </si>
  <si>
    <t>Anda, Samuel Eroles</t>
  </si>
  <si>
    <t>Bang-Asan, Azer Parago</t>
  </si>
  <si>
    <t>Cortez, Clarence Rolle</t>
  </si>
  <si>
    <t>De Leon, Katrina Vianney Romulo</t>
  </si>
  <si>
    <t>Fabrez, Gabirel Mostrera</t>
  </si>
  <si>
    <t>Apolinario, John Philip Lugo</t>
  </si>
  <si>
    <t xml:space="preserve">Ariento, Joan Remo </t>
  </si>
  <si>
    <t>Buhat, Mark anthony delos Reyes</t>
  </si>
  <si>
    <t>Cada, John Paul Bermudez</t>
  </si>
  <si>
    <t>Diala, Venz Rhazell De Raya</t>
  </si>
  <si>
    <t>Estrope, Arcel Amican</t>
  </si>
  <si>
    <t>Garcia, Kristoffer Batac</t>
  </si>
  <si>
    <t xml:space="preserve">Merana, Raymond Salloman </t>
  </si>
  <si>
    <t>Ramores, Edsekiel Escobanas</t>
  </si>
  <si>
    <t>☐ Financial problems</t>
  </si>
  <si>
    <t>EE,ESAS</t>
  </si>
  <si>
    <t>Self-review</t>
  </si>
  <si>
    <t>Peer group study</t>
  </si>
  <si>
    <t>Financial constraints</t>
  </si>
  <si>
    <t>EE, MATH, ESAS</t>
  </si>
  <si>
    <t>Self-review, Review books</t>
  </si>
  <si>
    <t>Online review materials, Review books</t>
  </si>
  <si>
    <t>Environment, Health issues</t>
  </si>
  <si>
    <t>Lack of access,Time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</si>
</sst>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9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2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0" xfId="0" applyFont="1"/>
    <xf numFmtId="0" fontId="3" fillId="5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4" borderId="3" xfId="0" applyFont="1" applyFill="1" applyBorder="1"/>
    <xf numFmtId="0" fontId="3" fillId="4" borderId="3" xfId="0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/>
    <xf numFmtId="0" fontId="5" fillId="4" borderId="3" xfId="0" applyFont="1" applyFill="1" applyBorder="1" applyAlignment="1">
      <alignment horizontal="center"/>
    </xf>
    <xf numFmtId="0" fontId="2" fillId="4" borderId="0" xfId="0" applyFont="1" applyFill="1"/>
    <xf numFmtId="0" fontId="3" fillId="6" borderId="3" xfId="0" applyFont="1" applyFill="1" applyBorder="1"/>
    <xf numFmtId="0" fontId="6" fillId="0" borderId="0" xfId="0" applyFont="1" applyAlignment="1">
      <alignment horizontal="center" vertical="center"/>
    </xf>
    <xf numFmtId="0" fontId="2" fillId="4" borderId="2" xfId="0" applyFont="1" applyFill="1" applyBorder="1"/>
    <xf numFmtId="0" fontId="8" fillId="4" borderId="3" xfId="0" applyFont="1" applyFill="1" applyBorder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8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7" fillId="0" borderId="0" xfId="0" applyFont="1"/>
    <xf numFmtId="0" fontId="1" fillId="4" borderId="5" xfId="0" applyFont="1" applyFill="1" applyBorder="1" applyAlignment="1">
      <alignment horizontal="center"/>
    </xf>
    <xf numFmtId="0" fontId="2" fillId="4" borderId="5" xfId="0" applyFont="1" applyFill="1" applyBorder="1"/>
    <xf numFmtId="0" fontId="1" fillId="4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68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37">
    <tableStyle name="SURVEY RESULTS-style" pivot="0" count="4" xr9:uid="{00000000-0011-0000-FFFF-FFFF00000000}">
      <tableStyleElement type="wholeTable" size="0" dxfId="685"/>
      <tableStyleElement type="headerRow" dxfId="684"/>
      <tableStyleElement type="firstRowStripe" dxfId="683"/>
      <tableStyleElement type="secondRowStripe" dxfId="682"/>
    </tableStyle>
    <tableStyle name="2022 -2025 PRC DATA RECORD-style" pivot="0" count="2" xr9:uid="{00000000-0011-0000-FFFF-FFFF01000000}">
      <tableStyleElement type="firstRowStripe" dxfId="681"/>
      <tableStyleElement type="secondRowStripe" dxfId="680"/>
    </tableStyle>
    <tableStyle name="2022 -2025 PRC DATA RECORD-style 2" pivot="0" count="2" xr9:uid="{00000000-0011-0000-FFFF-FFFF02000000}">
      <tableStyleElement type="firstRowStripe" dxfId="679"/>
      <tableStyleElement type="secondRowStripe" dxfId="678"/>
    </tableStyle>
    <tableStyle name="2022 -2025 PRC DATA RECORD-style 3" pivot="0" count="2" xr9:uid="{00000000-0011-0000-FFFF-FFFF03000000}">
      <tableStyleElement type="firstRowStripe" dxfId="677"/>
      <tableStyleElement type="secondRowStripe" dxfId="676"/>
    </tableStyle>
    <tableStyle name="2022 -2025 PRC DATA RECORD-style 4" pivot="0" count="2" xr9:uid="{00000000-0011-0000-FFFF-FFFF04000000}">
      <tableStyleElement type="firstRowStripe" dxfId="675"/>
      <tableStyleElement type="secondRowStripe" dxfId="674"/>
    </tableStyle>
    <tableStyle name="2022 -2025 PRC DATA RECORD-style 5" pivot="0" count="2" xr9:uid="{00000000-0011-0000-FFFF-FFFF05000000}">
      <tableStyleElement type="firstRowStripe" dxfId="673"/>
      <tableStyleElement type="secondRowStripe" dxfId="672"/>
    </tableStyle>
    <tableStyle name="2022 -2025 PRC DATA RECORD-style 6" pivot="0" count="2" xr9:uid="{00000000-0011-0000-FFFF-FFFF06000000}">
      <tableStyleElement type="firstRowStripe" dxfId="671"/>
      <tableStyleElement type="secondRowStripe" dxfId="670"/>
    </tableStyle>
    <tableStyle name="2022 -2025 PRC DATA RECORD-style 7" pivot="0" count="2" xr9:uid="{00000000-0011-0000-FFFF-FFFF07000000}">
      <tableStyleElement type="firstRowStripe" dxfId="669"/>
      <tableStyleElement type="secondRowStripe" dxfId="668"/>
    </tableStyle>
    <tableStyle name="2022 -2025 PRC DATA RECORD-style 8" pivot="0" count="2" xr9:uid="{00000000-0011-0000-FFFF-FFFF08000000}">
      <tableStyleElement type="firstRowStripe" dxfId="667"/>
      <tableStyleElement type="secondRowStripe" dxfId="666"/>
    </tableStyle>
    <tableStyle name="2022 -2025 PRC DATA RECORD-style 9" pivot="0" count="2" xr9:uid="{00000000-0011-0000-FFFF-FFFF09000000}">
      <tableStyleElement type="firstRowStripe" dxfId="665"/>
      <tableStyleElement type="secondRowStripe" dxfId="664"/>
    </tableStyle>
    <tableStyle name="2022 -2025 PRC DATA RECORD-style 10" pivot="0" count="2" xr9:uid="{00000000-0011-0000-FFFF-FFFF0A000000}">
      <tableStyleElement type="firstRowStripe" dxfId="663"/>
      <tableStyleElement type="secondRowStripe" dxfId="662"/>
    </tableStyle>
    <tableStyle name="2022 -2025 PRC DATA RECORD-style 11" pivot="0" count="2" xr9:uid="{00000000-0011-0000-FFFF-FFFF0B000000}">
      <tableStyleElement type="firstRowStripe" dxfId="661"/>
      <tableStyleElement type="secondRowStripe" dxfId="660"/>
    </tableStyle>
    <tableStyle name="2022 -2025 PRC DATA RECORD-style 12" pivot="0" count="2" xr9:uid="{00000000-0011-0000-FFFF-FFFF0C000000}">
      <tableStyleElement type="firstRowStripe" dxfId="659"/>
      <tableStyleElement type="secondRowStripe" dxfId="658"/>
    </tableStyle>
    <tableStyle name="2022 -2025 PRC DATA RECORD-style 13" pivot="0" count="2" xr9:uid="{00000000-0011-0000-FFFF-FFFF0D000000}">
      <tableStyleElement type="firstRowStripe" dxfId="657"/>
      <tableStyleElement type="secondRowStripe" dxfId="656"/>
    </tableStyle>
    <tableStyle name="2022 -2025 PRC DATA RECORD-style 14" pivot="0" count="2" xr9:uid="{00000000-0011-0000-FFFF-FFFF0E000000}">
      <tableStyleElement type="firstRowStripe" dxfId="655"/>
      <tableStyleElement type="secondRowStripe" dxfId="654"/>
    </tableStyle>
    <tableStyle name="2022 -2025 PRC DATA RECORD-style 15" pivot="0" count="2" xr9:uid="{00000000-0011-0000-FFFF-FFFF0F000000}">
      <tableStyleElement type="firstRowStripe" dxfId="653"/>
      <tableStyleElement type="secondRowStripe" dxfId="652"/>
    </tableStyle>
    <tableStyle name="2022 -2025 PRC DATA RECORD-style 16" pivot="0" count="2" xr9:uid="{00000000-0011-0000-FFFF-FFFF10000000}">
      <tableStyleElement type="firstRowStripe" dxfId="651"/>
      <tableStyleElement type="secondRowStripe" dxfId="650"/>
    </tableStyle>
    <tableStyle name="2022 -2025 PRC DATA RECORD-style 17" pivot="0" count="2" xr9:uid="{00000000-0011-0000-FFFF-FFFF11000000}">
      <tableStyleElement type="firstRowStripe" dxfId="649"/>
      <tableStyleElement type="secondRowStripe" dxfId="648"/>
    </tableStyle>
    <tableStyle name="2022 -2025 PRC DATA RECORD-style 18" pivot="0" count="2" xr9:uid="{00000000-0011-0000-FFFF-FFFF12000000}">
      <tableStyleElement type="firstRowStripe" dxfId="647"/>
      <tableStyleElement type="secondRowStripe" dxfId="646"/>
    </tableStyle>
    <tableStyle name="2022 -2025 PRC DATA RECORD-style 19" pivot="0" count="2" xr9:uid="{00000000-0011-0000-FFFF-FFFF13000000}">
      <tableStyleElement type="firstRowStripe" dxfId="645"/>
      <tableStyleElement type="secondRowStripe" dxfId="644"/>
    </tableStyle>
    <tableStyle name="2022 -2025 PRC DATA RECORD-style 20" pivot="0" count="2" xr9:uid="{00000000-0011-0000-FFFF-FFFF14000000}">
      <tableStyleElement type="firstRowStripe" dxfId="643"/>
      <tableStyleElement type="secondRowStripe" dxfId="642"/>
    </tableStyle>
    <tableStyle name="2022 -2025 PRC DATA RECORD-style 21" pivot="0" count="2" xr9:uid="{00000000-0011-0000-FFFF-FFFF15000000}">
      <tableStyleElement type="firstRowStripe" dxfId="641"/>
      <tableStyleElement type="secondRowStripe" dxfId="640"/>
    </tableStyle>
    <tableStyle name="2022 -2025 PRC DATA RECORD-style 22" pivot="0" count="2" xr9:uid="{00000000-0011-0000-FFFF-FFFF16000000}">
      <tableStyleElement type="firstRowStripe" dxfId="639"/>
      <tableStyleElement type="secondRowStripe" dxfId="638"/>
    </tableStyle>
    <tableStyle name="2022 -2025 PRC DATA RECORD-style 23" pivot="0" count="2" xr9:uid="{00000000-0011-0000-FFFF-FFFF17000000}">
      <tableStyleElement type="firstRowStripe" dxfId="637"/>
      <tableStyleElement type="secondRowStripe" dxfId="636"/>
    </tableStyle>
    <tableStyle name="2022 -2025 PRC DATA RECORD-style 24" pivot="0" count="2" xr9:uid="{00000000-0011-0000-FFFF-FFFF18000000}">
      <tableStyleElement type="firstRowStripe" dxfId="635"/>
      <tableStyleElement type="secondRowStripe" dxfId="634"/>
    </tableStyle>
    <tableStyle name="2022 -2025 PRC DATA RECORD-style 25" pivot="0" count="2" xr9:uid="{00000000-0011-0000-FFFF-FFFF19000000}">
      <tableStyleElement type="firstRowStripe" dxfId="633"/>
      <tableStyleElement type="secondRowStripe" dxfId="632"/>
    </tableStyle>
    <tableStyle name="DATA_MODEL-style" pivot="0" count="4" xr9:uid="{00000000-0011-0000-FFFF-FFFF1A000000}">
      <tableStyleElement type="wholeTable" size="0" dxfId="631"/>
      <tableStyleElement type="headerRow" dxfId="630"/>
      <tableStyleElement type="firstRowStripe" dxfId="629"/>
      <tableStyleElement type="secondRowStripe" dxfId="628"/>
    </tableStyle>
    <tableStyle name="DATA_MODEL-style 2" pivot="0" count="2" xr9:uid="{00000000-0011-0000-FFFF-FFFF1B000000}">
      <tableStyleElement type="firstRowStripe" dxfId="627"/>
      <tableStyleElement type="secondRowStripe" dxfId="626"/>
    </tableStyle>
    <tableStyle name="DATA_MODEL-style 3" pivot="0" count="2" xr9:uid="{00000000-0011-0000-FFFF-FFFF1C000000}">
      <tableStyleElement type="firstRowStripe" dxfId="625"/>
      <tableStyleElement type="secondRowStripe" dxfId="624"/>
    </tableStyle>
    <tableStyle name="DATA_MODEL-style 4" pivot="0" count="2" xr9:uid="{00000000-0011-0000-FFFF-FFFF1D000000}">
      <tableStyleElement type="firstRowStripe" dxfId="623"/>
      <tableStyleElement type="secondRowStripe" dxfId="622"/>
    </tableStyle>
    <tableStyle name="DATA_MODEL-style 5" pivot="0" count="2" xr9:uid="{00000000-0011-0000-FFFF-FFFF1E000000}">
      <tableStyleElement type="firstRowStripe" dxfId="621"/>
      <tableStyleElement type="secondRowStripe" dxfId="620"/>
    </tableStyle>
    <tableStyle name="DATA_MODEL-style 6" pivot="0" count="2" xr9:uid="{00000000-0011-0000-FFFF-FFFF1F000000}">
      <tableStyleElement type="firstRowStripe" dxfId="619"/>
      <tableStyleElement type="secondRowStripe" dxfId="618"/>
    </tableStyle>
    <tableStyle name="DATA_MODEL-style 7" pivot="0" count="2" xr9:uid="{00000000-0011-0000-FFFF-FFFF20000000}">
      <tableStyleElement type="firstRowStripe" dxfId="617"/>
      <tableStyleElement type="secondRowStripe" dxfId="616"/>
    </tableStyle>
    <tableStyle name="DATA_MODEL-style 8" pivot="0" count="2" xr9:uid="{00000000-0011-0000-FFFF-FFFF21000000}">
      <tableStyleElement type="firstRowStripe" dxfId="615"/>
      <tableStyleElement type="secondRowStripe" dxfId="614"/>
    </tableStyle>
    <tableStyle name="DATA_MODEL-style 9" pivot="0" count="2" xr9:uid="{00000000-0011-0000-FFFF-FFFF22000000}">
      <tableStyleElement type="firstRowStripe" dxfId="613"/>
      <tableStyleElement type="secondRowStripe" dxfId="612"/>
    </tableStyle>
    <tableStyle name="DATA_MODEL-style 10" pivot="0" count="2" xr9:uid="{00000000-0011-0000-FFFF-FFFF23000000}">
      <tableStyleElement type="firstRowStripe" dxfId="611"/>
      <tableStyleElement type="secondRowStripe" dxfId="610"/>
    </tableStyle>
    <tableStyle name="DATA_MODEL-style 11" pivot="0" count="2" xr9:uid="{00000000-0011-0000-FFFF-FFFF24000000}">
      <tableStyleElement type="firstRowStripe" dxfId="609"/>
      <tableStyleElement type="secondRowStripe" dxfId="608"/>
    </tableStyle>
    <tableStyle name="DATA_MODEL-style 12" pivot="0" count="2" xr9:uid="{00000000-0011-0000-FFFF-FFFF25000000}">
      <tableStyleElement type="firstRowStripe" dxfId="607"/>
      <tableStyleElement type="secondRowStripe" dxfId="606"/>
    </tableStyle>
    <tableStyle name="DATA_MODEL-style 13" pivot="0" count="2" xr9:uid="{00000000-0011-0000-FFFF-FFFF26000000}">
      <tableStyleElement type="firstRowStripe" dxfId="605"/>
      <tableStyleElement type="secondRowStripe" dxfId="604"/>
    </tableStyle>
    <tableStyle name="DATA_MODEL-style 14" pivot="0" count="2" xr9:uid="{00000000-0011-0000-FFFF-FFFF27000000}">
      <tableStyleElement type="firstRowStripe" dxfId="603"/>
      <tableStyleElement type="secondRowStripe" dxfId="602"/>
    </tableStyle>
    <tableStyle name="DATA_MODEL-style 15" pivot="0" count="2" xr9:uid="{00000000-0011-0000-FFFF-FFFF28000000}">
      <tableStyleElement type="firstRowStripe" dxfId="601"/>
      <tableStyleElement type="secondRowStripe" dxfId="600"/>
    </tableStyle>
    <tableStyle name="DATA_MODEL-style 16" pivot="0" count="2" xr9:uid="{00000000-0011-0000-FFFF-FFFF29000000}">
      <tableStyleElement type="firstRowStripe" dxfId="599"/>
      <tableStyleElement type="secondRowStripe" dxfId="598"/>
    </tableStyle>
    <tableStyle name="DATA_MODEL-style 17" pivot="0" count="2" xr9:uid="{00000000-0011-0000-FFFF-FFFF2A000000}">
      <tableStyleElement type="firstRowStripe" dxfId="597"/>
      <tableStyleElement type="secondRowStripe" dxfId="596"/>
    </tableStyle>
    <tableStyle name="DATA_MODEL-style 18" pivot="0" count="2" xr9:uid="{00000000-0011-0000-FFFF-FFFF2B000000}">
      <tableStyleElement type="firstRowStripe" dxfId="595"/>
      <tableStyleElement type="secondRowStripe" dxfId="594"/>
    </tableStyle>
    <tableStyle name="DATA_MODEL-style 19" pivot="0" count="2" xr9:uid="{00000000-0011-0000-FFFF-FFFF2C000000}">
      <tableStyleElement type="firstRowStripe" dxfId="593"/>
      <tableStyleElement type="secondRowStripe" dxfId="592"/>
    </tableStyle>
    <tableStyle name="DATA_MODEL-style 20" pivot="0" count="2" xr9:uid="{00000000-0011-0000-FFFF-FFFF2D000000}">
      <tableStyleElement type="firstRowStripe" dxfId="591"/>
      <tableStyleElement type="secondRowStripe" dxfId="590"/>
    </tableStyle>
    <tableStyle name="DATA_MODEL-style 21" pivot="0" count="2" xr9:uid="{00000000-0011-0000-FFFF-FFFF2E000000}">
      <tableStyleElement type="firstRowStripe" dxfId="589"/>
      <tableStyleElement type="secondRowStripe" dxfId="588"/>
    </tableStyle>
    <tableStyle name="DATA_MODEL-style 22" pivot="0" count="2" xr9:uid="{00000000-0011-0000-FFFF-FFFF2F000000}">
      <tableStyleElement type="firstRowStripe" dxfId="587"/>
      <tableStyleElement type="secondRowStripe" dxfId="586"/>
    </tableStyle>
    <tableStyle name="DATA_MODEL-style 23" pivot="0" count="2" xr9:uid="{00000000-0011-0000-FFFF-FFFF30000000}">
      <tableStyleElement type="firstRowStripe" dxfId="585"/>
      <tableStyleElement type="secondRowStripe" dxfId="584"/>
    </tableStyle>
    <tableStyle name="DATA_MODEL-style 24" pivot="0" count="2" xr9:uid="{00000000-0011-0000-FFFF-FFFF31000000}">
      <tableStyleElement type="firstRowStripe" dxfId="583"/>
      <tableStyleElement type="secondRowStripe" dxfId="582"/>
    </tableStyle>
    <tableStyle name="DATA_MODEL-style 25" pivot="0" count="2" xr9:uid="{00000000-0011-0000-FFFF-FFFF32000000}">
      <tableStyleElement type="firstRowStripe" dxfId="581"/>
      <tableStyleElement type="secondRowStripe" dxfId="580"/>
    </tableStyle>
    <tableStyle name="DATA_MODEL-style 26" pivot="0" count="2" xr9:uid="{00000000-0011-0000-FFFF-FFFF33000000}">
      <tableStyleElement type="firstRowStripe" dxfId="579"/>
      <tableStyleElement type="secondRowStripe" dxfId="578"/>
    </tableStyle>
    <tableStyle name="DATA_MODEL-style 27" pivot="0" count="2" xr9:uid="{00000000-0011-0000-FFFF-FFFF34000000}">
      <tableStyleElement type="firstRowStripe" dxfId="577"/>
      <tableStyleElement type="secondRowStripe" dxfId="576"/>
    </tableStyle>
    <tableStyle name="DATA_MODEL-style 28" pivot="0" count="2" xr9:uid="{00000000-0011-0000-FFFF-FFFF35000000}">
      <tableStyleElement type="firstRowStripe" dxfId="575"/>
      <tableStyleElement type="secondRowStripe" dxfId="574"/>
    </tableStyle>
    <tableStyle name="DATA_MODEL-style 29" pivot="0" count="2" xr9:uid="{00000000-0011-0000-FFFF-FFFF36000000}">
      <tableStyleElement type="firstRowStripe" dxfId="573"/>
      <tableStyleElement type="secondRowStripe" dxfId="572"/>
    </tableStyle>
    <tableStyle name="DATA_MODEL-style 30" pivot="0" count="2" xr9:uid="{00000000-0011-0000-FFFF-FFFF37000000}">
      <tableStyleElement type="firstRowStripe" dxfId="571"/>
      <tableStyleElement type="secondRowStripe" dxfId="570"/>
    </tableStyle>
    <tableStyle name="DATA_MODEL-style 31" pivot="0" count="2" xr9:uid="{00000000-0011-0000-FFFF-FFFF38000000}">
      <tableStyleElement type="firstRowStripe" dxfId="569"/>
      <tableStyleElement type="secondRowStripe" dxfId="568"/>
    </tableStyle>
    <tableStyle name="DATA_MODEL-style 32" pivot="0" count="2" xr9:uid="{00000000-0011-0000-FFFF-FFFF39000000}">
      <tableStyleElement type="firstRowStripe" dxfId="567"/>
      <tableStyleElement type="secondRowStripe" dxfId="566"/>
    </tableStyle>
    <tableStyle name="DATA_MODEL-style 33" pivot="0" count="2" xr9:uid="{00000000-0011-0000-FFFF-FFFF3A000000}">
      <tableStyleElement type="firstRowStripe" dxfId="565"/>
      <tableStyleElement type="secondRowStripe" dxfId="564"/>
    </tableStyle>
    <tableStyle name="DATA_MODEL-style 34" pivot="0" count="2" xr9:uid="{00000000-0011-0000-FFFF-FFFF3B000000}">
      <tableStyleElement type="firstRowStripe" dxfId="563"/>
      <tableStyleElement type="secondRowStripe" dxfId="562"/>
    </tableStyle>
    <tableStyle name="DATA_MODEL-style 35" pivot="0" count="2" xr9:uid="{00000000-0011-0000-FFFF-FFFF3C000000}">
      <tableStyleElement type="firstRowStripe" dxfId="561"/>
      <tableStyleElement type="secondRowStripe" dxfId="560"/>
    </tableStyle>
    <tableStyle name="DATA_MODEL-style 36" pivot="0" count="2" xr9:uid="{00000000-0011-0000-FFFF-FFFF3D000000}">
      <tableStyleElement type="firstRowStripe" dxfId="559"/>
      <tableStyleElement type="secondRowStripe" dxfId="558"/>
    </tableStyle>
    <tableStyle name="DATA_MODEL-style 37" pivot="0" count="2" xr9:uid="{00000000-0011-0000-FFFF-FFFF3E000000}">
      <tableStyleElement type="firstRowStripe" dxfId="557"/>
      <tableStyleElement type="secondRowStripe" dxfId="556"/>
    </tableStyle>
    <tableStyle name="DATA_MODEL-style 38" pivot="0" count="2" xr9:uid="{00000000-0011-0000-FFFF-FFFF3F000000}">
      <tableStyleElement type="firstRowStripe" dxfId="555"/>
      <tableStyleElement type="secondRowStripe" dxfId="554"/>
    </tableStyle>
    <tableStyle name="DATA_MODEL-style 39" pivot="0" count="2" xr9:uid="{00000000-0011-0000-FFFF-FFFF40000000}">
      <tableStyleElement type="firstRowStripe" dxfId="553"/>
      <tableStyleElement type="secondRowStripe" dxfId="552"/>
    </tableStyle>
    <tableStyle name="DATA_MODEL-style 40" pivot="0" count="2" xr9:uid="{00000000-0011-0000-FFFF-FFFF41000000}">
      <tableStyleElement type="firstRowStripe" dxfId="551"/>
      <tableStyleElement type="secondRowStripe" dxfId="550"/>
    </tableStyle>
    <tableStyle name="DATA_MODEL-style 41" pivot="0" count="2" xr9:uid="{00000000-0011-0000-FFFF-FFFF42000000}">
      <tableStyleElement type="firstRowStripe" dxfId="549"/>
      <tableStyleElement type="secondRowStripe" dxfId="548"/>
    </tableStyle>
    <tableStyle name="DATA_MODEL-style 42" pivot="0" count="2" xr9:uid="{00000000-0011-0000-FFFF-FFFF43000000}">
      <tableStyleElement type="firstRowStripe" dxfId="547"/>
      <tableStyleElement type="secondRowStripe" dxfId="546"/>
    </tableStyle>
    <tableStyle name="DATA_EVALUATION-style" pivot="0" count="4" xr9:uid="{00000000-0011-0000-FFFF-FFFF44000000}">
      <tableStyleElement type="wholeTable" size="0" dxfId="545"/>
      <tableStyleElement type="headerRow" dxfId="544"/>
      <tableStyleElement type="firstRowStripe" dxfId="543"/>
      <tableStyleElement type="secondRowStripe" dxfId="542"/>
    </tableStyle>
    <tableStyle name="DATA_EVALUATION-style 2" pivot="0" count="2" xr9:uid="{00000000-0011-0000-FFFF-FFFF45000000}">
      <tableStyleElement type="firstRowStripe" dxfId="541"/>
      <tableStyleElement type="secondRowStripe" dxfId="540"/>
    </tableStyle>
    <tableStyle name="DATA_EVALUATION-style 3" pivot="0" count="2" xr9:uid="{00000000-0011-0000-FFFF-FFFF46000000}">
      <tableStyleElement type="firstRowStripe" dxfId="539"/>
      <tableStyleElement type="secondRowStripe" dxfId="538"/>
    </tableStyle>
    <tableStyle name="DATA_EVALUATION-style 4" pivot="0" count="2" xr9:uid="{00000000-0011-0000-FFFF-FFFF47000000}">
      <tableStyleElement type="firstRowStripe" dxfId="537"/>
      <tableStyleElement type="secondRowStripe" dxfId="536"/>
    </tableStyle>
    <tableStyle name="DATA_EVALUATION-style 5" pivot="0" count="2" xr9:uid="{00000000-0011-0000-FFFF-FFFF48000000}">
      <tableStyleElement type="firstRowStripe" dxfId="535"/>
      <tableStyleElement type="secondRowStripe" dxfId="534"/>
    </tableStyle>
    <tableStyle name="DATA_EVALUATION-style 6" pivot="0" count="2" xr9:uid="{00000000-0011-0000-FFFF-FFFF49000000}">
      <tableStyleElement type="firstRowStripe" dxfId="533"/>
      <tableStyleElement type="secondRowStripe" dxfId="532"/>
    </tableStyle>
    <tableStyle name="Copy of DATA_EVALUATION-style" pivot="0" count="4" xr9:uid="{00000000-0011-0000-FFFF-FFFF4A000000}">
      <tableStyleElement type="wholeTable" size="0" dxfId="531"/>
      <tableStyleElement type="headerRow" dxfId="530"/>
      <tableStyleElement type="firstRowStripe" dxfId="529"/>
      <tableStyleElement type="secondRowStripe" dxfId="528"/>
    </tableStyle>
    <tableStyle name="Copy of DATA_EVALUATION-style 2" pivot="0" count="2" xr9:uid="{00000000-0011-0000-FFFF-FFFF4B000000}">
      <tableStyleElement type="firstRowStripe" dxfId="527"/>
      <tableStyleElement type="secondRowStripe" dxfId="526"/>
    </tableStyle>
    <tableStyle name="Copy of DATA_EVALUATION-style 3" pivot="0" count="2" xr9:uid="{00000000-0011-0000-FFFF-FFFF4C000000}">
      <tableStyleElement type="firstRowStripe" dxfId="525"/>
      <tableStyleElement type="secondRowStripe" dxfId="524"/>
    </tableStyle>
    <tableStyle name="Copy of DATA_EVALUATION-style 4" pivot="0" count="2" xr9:uid="{00000000-0011-0000-FFFF-FFFF4D000000}">
      <tableStyleElement type="firstRowStripe" dxfId="523"/>
      <tableStyleElement type="secondRowStripe" dxfId="522"/>
    </tableStyle>
    <tableStyle name="Copy of DATA_EVALUATION-style 5" pivot="0" count="2" xr9:uid="{00000000-0011-0000-FFFF-FFFF4E000000}">
      <tableStyleElement type="firstRowStripe" dxfId="521"/>
      <tableStyleElement type="secondRowStripe" dxfId="520"/>
    </tableStyle>
    <tableStyle name="Copy of DATA_EVALUATION-style 6" pivot="0" count="2" xr9:uid="{00000000-0011-0000-FFFF-FFFF4F000000}">
      <tableStyleElement type="firstRowStripe" dxfId="519"/>
      <tableStyleElement type="secondRowStripe" dxfId="518"/>
    </tableStyle>
    <tableStyle name="Copy of DATA_EVALUATION-style 7" pivot="0" count="2" xr9:uid="{00000000-0011-0000-FFFF-FFFF50000000}">
      <tableStyleElement type="firstRowStripe" dxfId="517"/>
      <tableStyleElement type="secondRowStripe" dxfId="516"/>
    </tableStyle>
    <tableStyle name="DATA_DRAFT (EVALUATION)-style" pivot="0" count="4" xr9:uid="{00000000-0011-0000-FFFF-FFFF51000000}">
      <tableStyleElement type="wholeTable" size="0" dxfId="515"/>
      <tableStyleElement type="headerRow" dxfId="514"/>
      <tableStyleElement type="firstRowStripe" dxfId="513"/>
      <tableStyleElement type="secondRowStripe" dxfId="512"/>
    </tableStyle>
    <tableStyle name="DATA_DRAFT (EVALUATION)-style 2" pivot="0" count="2" xr9:uid="{00000000-0011-0000-FFFF-FFFF52000000}">
      <tableStyleElement type="firstRowStripe" dxfId="511"/>
      <tableStyleElement type="secondRowStripe" dxfId="510"/>
    </tableStyle>
    <tableStyle name="DATA_DRAFT (EVALUATION)-style 3" pivot="0" count="2" xr9:uid="{00000000-0011-0000-FFFF-FFFF53000000}">
      <tableStyleElement type="firstRowStripe" dxfId="509"/>
      <tableStyleElement type="secondRowStripe" dxfId="508"/>
    </tableStyle>
    <tableStyle name="DATA_DRAFT (EVALUATION)-style 4" pivot="0" count="2" xr9:uid="{00000000-0011-0000-FFFF-FFFF54000000}">
      <tableStyleElement type="firstRowStripe" dxfId="507"/>
      <tableStyleElement type="secondRowStripe" dxfId="506"/>
    </tableStyle>
    <tableStyle name="DATA_DRAFT (EVALUATION)-style 5" pivot="0" count="2" xr9:uid="{00000000-0011-0000-FFFF-FFFF55000000}">
      <tableStyleElement type="firstRowStripe" dxfId="505"/>
      <tableStyleElement type="secondRowStripe" dxfId="504"/>
    </tableStyle>
    <tableStyle name="DATA_DRAFT (EVALUATION)-style 6" pivot="0" count="2" xr9:uid="{00000000-0011-0000-FFFF-FFFF56000000}">
      <tableStyleElement type="firstRowStripe" dxfId="503"/>
      <tableStyleElement type="secondRowStripe" dxfId="502"/>
    </tableStyle>
    <tableStyle name="DATA_DRAFT (EVALUATION)-style 7" pivot="0" count="2" xr9:uid="{00000000-0011-0000-FFFF-FFFF57000000}">
      <tableStyleElement type="firstRowStripe" dxfId="501"/>
      <tableStyleElement type="secondRowStripe" dxfId="500"/>
    </tableStyle>
    <tableStyle name="DATA_DRAFT (EVALUATION)-style 8" pivot="0" count="2" xr9:uid="{00000000-0011-0000-FFFF-FFFF58000000}">
      <tableStyleElement type="firstRowStripe" dxfId="499"/>
      <tableStyleElement type="secondRowStripe" dxfId="498"/>
    </tableStyle>
    <tableStyle name="DATA_DRAFT (EVALUATION)-style 9" pivot="0" count="2" xr9:uid="{00000000-0011-0000-FFFF-FFFF59000000}">
      <tableStyleElement type="firstRowStripe" dxfId="497"/>
      <tableStyleElement type="secondRowStripe" dxfId="496"/>
    </tableStyle>
    <tableStyle name="DATA_DRAFT (EVALUATION)-style 10" pivot="0" count="2" xr9:uid="{00000000-0011-0000-FFFF-FFFF5A000000}">
      <tableStyleElement type="firstRowStripe" dxfId="495"/>
      <tableStyleElement type="secondRowStripe" dxfId="494"/>
    </tableStyle>
    <tableStyle name="DATA_DRAFT (EVALUATION)-style 11" pivot="0" count="2" xr9:uid="{00000000-0011-0000-FFFF-FFFF5B000000}">
      <tableStyleElement type="firstRowStripe" dxfId="493"/>
      <tableStyleElement type="secondRowStripe" dxfId="492"/>
    </tableStyle>
    <tableStyle name="DATA_DRAFT (EVALUATION)-style 12" pivot="0" count="2" xr9:uid="{00000000-0011-0000-FFFF-FFFF5C000000}">
      <tableStyleElement type="firstRowStripe" dxfId="491"/>
      <tableStyleElement type="secondRowStripe" dxfId="490"/>
    </tableStyle>
    <tableStyle name="DATA_DRAFT (EVALUATION)-style 13" pivot="0" count="2" xr9:uid="{00000000-0011-0000-FFFF-FFFF5D000000}">
      <tableStyleElement type="firstRowStripe" dxfId="489"/>
      <tableStyleElement type="secondRowStripe" dxfId="488"/>
    </tableStyle>
    <tableStyle name="DATA_DRAFT (EVALUATION)-style 14" pivot="0" count="2" xr9:uid="{00000000-0011-0000-FFFF-FFFF5E000000}">
      <tableStyleElement type="firstRowStripe" dxfId="487"/>
      <tableStyleElement type="secondRowStripe" dxfId="486"/>
    </tableStyle>
    <tableStyle name="DATA_DRAFT (EVALUATION)-style 15" pivot="0" count="2" xr9:uid="{00000000-0011-0000-FFFF-FFFF5F000000}">
      <tableStyleElement type="firstRowStripe" dxfId="485"/>
      <tableStyleElement type="secondRowStripe" dxfId="484"/>
    </tableStyle>
    <tableStyle name="DATA_DRAFT (EVALUATION)-style 16" pivot="0" count="2" xr9:uid="{00000000-0011-0000-FFFF-FFFF60000000}">
      <tableStyleElement type="firstRowStripe" dxfId="483"/>
      <tableStyleElement type="secondRowStripe" dxfId="482"/>
    </tableStyle>
    <tableStyle name="DATA_DRAFT (EVALUATION)-style 17" pivot="0" count="2" xr9:uid="{00000000-0011-0000-FFFF-FFFF61000000}">
      <tableStyleElement type="firstRowStripe" dxfId="481"/>
      <tableStyleElement type="secondRowStripe" dxfId="480"/>
    </tableStyle>
    <tableStyle name="DATA_DRAFT (EVALUATION)-style 18" pivot="0" count="2" xr9:uid="{00000000-0011-0000-FFFF-FFFF62000000}">
      <tableStyleElement type="firstRowStripe" dxfId="479"/>
      <tableStyleElement type="secondRowStripe" dxfId="478"/>
    </tableStyle>
    <tableStyle name="DATA_DRAFT (EVALUATION)-style 19" pivot="0" count="2" xr9:uid="{00000000-0011-0000-FFFF-FFFF63000000}">
      <tableStyleElement type="firstRowStripe" dxfId="477"/>
      <tableStyleElement type="secondRowStripe" dxfId="476"/>
    </tableStyle>
    <tableStyle name="DATA_DRAFT (EVALUATION)-style 20" pivot="0" count="2" xr9:uid="{00000000-0011-0000-FFFF-FFFF64000000}">
      <tableStyleElement type="firstRowStripe" dxfId="475"/>
      <tableStyleElement type="secondRowStripe" dxfId="474"/>
    </tableStyle>
    <tableStyle name="DATA_DRAFT (EVALUATION)-style 21" pivot="0" count="2" xr9:uid="{00000000-0011-0000-FFFF-FFFF65000000}">
      <tableStyleElement type="firstRowStripe" dxfId="473"/>
      <tableStyleElement type="secondRowStripe" dxfId="472"/>
    </tableStyle>
    <tableStyle name="DATA_DRAFT (EVALUATION)-style 22" pivot="0" count="2" xr9:uid="{00000000-0011-0000-FFFF-FFFF66000000}">
      <tableStyleElement type="firstRowStripe" dxfId="471"/>
      <tableStyleElement type="secondRowStripe" dxfId="470"/>
    </tableStyle>
    <tableStyle name="DATA_DRAFT (EVALUATION)-style 23" pivot="0" count="2" xr9:uid="{00000000-0011-0000-FFFF-FFFF67000000}">
      <tableStyleElement type="firstRowStripe" dxfId="469"/>
      <tableStyleElement type="secondRowStripe" dxfId="468"/>
    </tableStyle>
    <tableStyle name="DATA_DRAFT (EVALUATION)-style 24" pivot="0" count="2" xr9:uid="{00000000-0011-0000-FFFF-FFFF68000000}">
      <tableStyleElement type="firstRowStripe" dxfId="467"/>
      <tableStyleElement type="secondRowStripe" dxfId="466"/>
    </tableStyle>
    <tableStyle name="DATA_DRAFT (EVALUATION)-style 25" pivot="0" count="2" xr9:uid="{00000000-0011-0000-FFFF-FFFF69000000}">
      <tableStyleElement type="firstRowStripe" dxfId="465"/>
      <tableStyleElement type="secondRowStripe" dxfId="464"/>
    </tableStyle>
    <tableStyle name="DATA_DRAFT (EVALUATION)-style 26" pivot="0" count="2" xr9:uid="{00000000-0011-0000-FFFF-FFFF6A000000}">
      <tableStyleElement type="firstRowStripe" dxfId="463"/>
      <tableStyleElement type="secondRowStripe" dxfId="462"/>
    </tableStyle>
    <tableStyle name="DATA_DRAFT (EVALUATION)-style 27" pivot="0" count="2" xr9:uid="{00000000-0011-0000-FFFF-FFFF6B000000}">
      <tableStyleElement type="firstRowStripe" dxfId="461"/>
      <tableStyleElement type="secondRowStripe" dxfId="460"/>
    </tableStyle>
    <tableStyle name="DATA_DRAFT (EVALUATION)-style 28" pivot="0" count="2" xr9:uid="{00000000-0011-0000-FFFF-FFFF6C000000}">
      <tableStyleElement type="firstRowStripe" dxfId="459"/>
      <tableStyleElement type="secondRowStripe" dxfId="458"/>
    </tableStyle>
    <tableStyle name="DATA_DRAFT (EVALUATION)-style 29" pivot="0" count="2" xr9:uid="{00000000-0011-0000-FFFF-FFFF6D000000}">
      <tableStyleElement type="firstRowStripe" dxfId="457"/>
      <tableStyleElement type="secondRowStripe" dxfId="456"/>
    </tableStyle>
    <tableStyle name="DATA_DRAFT (EVALUATION)-style 30" pivot="0" count="2" xr9:uid="{00000000-0011-0000-FFFF-FFFF6E000000}">
      <tableStyleElement type="firstRowStripe" dxfId="455"/>
      <tableStyleElement type="secondRowStripe" dxfId="454"/>
    </tableStyle>
    <tableStyle name="DATA_DRAFT (EVALUATION)-style 31" pivot="0" count="2" xr9:uid="{00000000-0011-0000-FFFF-FFFF6F000000}">
      <tableStyleElement type="firstRowStripe" dxfId="453"/>
      <tableStyleElement type="secondRowStripe" dxfId="452"/>
    </tableStyle>
    <tableStyle name="DATA_DRAFT (EVALUATION)-style 32" pivot="0" count="2" xr9:uid="{00000000-0011-0000-FFFF-FFFF70000000}">
      <tableStyleElement type="firstRowStripe" dxfId="451"/>
      <tableStyleElement type="secondRowStripe" dxfId="450"/>
    </tableStyle>
    <tableStyle name="DATA_DRAFT (EVALUATION)-style 33" pivot="0" count="2" xr9:uid="{00000000-0011-0000-FFFF-FFFF71000000}">
      <tableStyleElement type="firstRowStripe" dxfId="449"/>
      <tableStyleElement type="secondRowStripe" dxfId="448"/>
    </tableStyle>
    <tableStyle name="DATA_DRAFT (EVALUATION)-style 34" pivot="0" count="2" xr9:uid="{00000000-0011-0000-FFFF-FFFF72000000}">
      <tableStyleElement type="firstRowStripe" dxfId="447"/>
      <tableStyleElement type="secondRowStripe" dxfId="446"/>
    </tableStyle>
    <tableStyle name="DATA_DRAFT (EVALUATION)-style 35" pivot="0" count="2" xr9:uid="{00000000-0011-0000-FFFF-FFFF73000000}">
      <tableStyleElement type="firstRowStripe" dxfId="445"/>
      <tableStyleElement type="secondRowStripe" dxfId="444"/>
    </tableStyle>
    <tableStyle name="DATA_DRAFT (EVALUATION)-style 36" pivot="0" count="2" xr9:uid="{00000000-0011-0000-FFFF-FFFF74000000}">
      <tableStyleElement type="firstRowStripe" dxfId="443"/>
      <tableStyleElement type="secondRowStripe" dxfId="442"/>
    </tableStyle>
    <tableStyle name="DATA_DRAFT (EVALUATION)-style 37" pivot="0" count="2" xr9:uid="{00000000-0011-0000-FFFF-FFFF75000000}">
      <tableStyleElement type="firstRowStripe" dxfId="441"/>
      <tableStyleElement type="secondRowStripe" dxfId="440"/>
    </tableStyle>
    <tableStyle name="DATA_DRAFT (EVALUATION)-style 38" pivot="0" count="2" xr9:uid="{00000000-0011-0000-FFFF-FFFF76000000}">
      <tableStyleElement type="firstRowStripe" dxfId="439"/>
      <tableStyleElement type="secondRowStripe" dxfId="438"/>
    </tableStyle>
    <tableStyle name="DATA_DRAFT (EVALUATION)-style 39" pivot="0" count="2" xr9:uid="{00000000-0011-0000-FFFF-FFFF77000000}">
      <tableStyleElement type="firstRowStripe" dxfId="437"/>
      <tableStyleElement type="secondRowStripe" dxfId="436"/>
    </tableStyle>
    <tableStyle name="DATA_DRAFT (EVALUATION)-style 40" pivot="0" count="2" xr9:uid="{00000000-0011-0000-FFFF-FFFF78000000}">
      <tableStyleElement type="firstRowStripe" dxfId="435"/>
      <tableStyleElement type="secondRowStripe" dxfId="434"/>
    </tableStyle>
    <tableStyle name="DATA_DRAFT (EVALUATION)-style 41" pivot="0" count="2" xr9:uid="{00000000-0011-0000-FFFF-FFFF79000000}">
      <tableStyleElement type="firstRowStripe" dxfId="433"/>
      <tableStyleElement type="secondRowStripe" dxfId="432"/>
    </tableStyle>
    <tableStyle name="DATA_DRAFT (EVALUATION)-style 42" pivot="0" count="2" xr9:uid="{00000000-0011-0000-FFFF-FFFF7A000000}">
      <tableStyleElement type="firstRowStripe" dxfId="431"/>
      <tableStyleElement type="secondRowStripe" dxfId="430"/>
    </tableStyle>
    <tableStyle name="DATA_DRAFT (EVALUATION)-style 43" pivot="0" count="2" xr9:uid="{00000000-0011-0000-FFFF-FFFF7B000000}">
      <tableStyleElement type="firstRowStripe" dxfId="429"/>
      <tableStyleElement type="secondRowStripe" dxfId="428"/>
    </tableStyle>
    <tableStyle name="DATA_DRAFT (EVALUATION)-style 44" pivot="0" count="2" xr9:uid="{00000000-0011-0000-FFFF-FFFF7C000000}">
      <tableStyleElement type="firstRowStripe" dxfId="427"/>
      <tableStyleElement type="secondRowStripe" dxfId="426"/>
    </tableStyle>
    <tableStyle name="DATA_DRAFT (EVALUATION)-style 45" pivot="0" count="2" xr9:uid="{00000000-0011-0000-FFFF-FFFF7D000000}">
      <tableStyleElement type="firstRowStripe" dxfId="425"/>
      <tableStyleElement type="secondRowStripe" dxfId="424"/>
    </tableStyle>
    <tableStyle name="DATA_DRAFT (EVALUATION)-style 46" pivot="0" count="2" xr9:uid="{00000000-0011-0000-FFFF-FFFF7E000000}">
      <tableStyleElement type="firstRowStripe" dxfId="423"/>
      <tableStyleElement type="secondRowStripe" dxfId="422"/>
    </tableStyle>
    <tableStyle name="DATA_DRAFT (EVALUATION)-style 47" pivot="0" count="2" xr9:uid="{00000000-0011-0000-FFFF-FFFF7F000000}">
      <tableStyleElement type="firstRowStripe" dxfId="421"/>
      <tableStyleElement type="secondRowStripe" dxfId="420"/>
    </tableStyle>
    <tableStyle name="DATA_DRAFT (EVALUATION)-style 48" pivot="0" count="2" xr9:uid="{00000000-0011-0000-FFFF-FFFF80000000}">
      <tableStyleElement type="firstRowStripe" dxfId="419"/>
      <tableStyleElement type="secondRowStripe" dxfId="418"/>
    </tableStyle>
    <tableStyle name="DATA_DRAFT (EVALUATION)-style 49" pivot="0" count="2" xr9:uid="{00000000-0011-0000-FFFF-FFFF81000000}">
      <tableStyleElement type="firstRowStripe" dxfId="417"/>
      <tableStyleElement type="secondRowStripe" dxfId="416"/>
    </tableStyle>
    <tableStyle name="DATA_DRAFT (EVALUATION)-style 50" pivot="0" count="2" xr9:uid="{00000000-0011-0000-FFFF-FFFF82000000}">
      <tableStyleElement type="firstRowStripe" dxfId="415"/>
      <tableStyleElement type="secondRowStripe" dxfId="414"/>
    </tableStyle>
    <tableStyle name="DATA_DRAFT (EVALUATION)-style 51" pivot="0" count="2" xr9:uid="{00000000-0011-0000-FFFF-FFFF83000000}">
      <tableStyleElement type="firstRowStripe" dxfId="413"/>
      <tableStyleElement type="secondRowStripe" dxfId="412"/>
    </tableStyle>
    <tableStyle name="DATA_DRAFT (EVALUATION)-style 52" pivot="0" count="2" xr9:uid="{00000000-0011-0000-FFFF-FFFF84000000}">
      <tableStyleElement type="firstRowStripe" dxfId="411"/>
      <tableStyleElement type="secondRowStripe" dxfId="410"/>
    </tableStyle>
    <tableStyle name="DATA_DRAFT (EVALUATION)-style 53" pivot="0" count="2" xr9:uid="{00000000-0011-0000-FFFF-FFFF85000000}">
      <tableStyleElement type="firstRowStripe" dxfId="409"/>
      <tableStyleElement type="secondRowStripe" dxfId="408"/>
    </tableStyle>
    <tableStyle name="DATA_DRAFT (EVALUATION)-style 54" pivot="0" count="2" xr9:uid="{00000000-0011-0000-FFFF-FFFF86000000}">
      <tableStyleElement type="firstRowStripe" dxfId="407"/>
      <tableStyleElement type="secondRowStripe" dxfId="406"/>
    </tableStyle>
    <tableStyle name="DATA_DRAFT (EVALUATION)-style 55" pivot="0" count="2" xr9:uid="{00000000-0011-0000-FFFF-FFFF87000000}">
      <tableStyleElement type="firstRowStripe" dxfId="405"/>
      <tableStyleElement type="secondRowStripe" dxfId="404"/>
    </tableStyle>
    <tableStyle name="DATA_DRAFT (EVALUATION)-style 56" pivot="0" count="2" xr9:uid="{00000000-0011-0000-FFFF-FFFF88000000}">
      <tableStyleElement type="firstRowStripe" dxfId="403"/>
      <tableStyleElement type="secondRowStripe" dxfId="402"/>
    </tableStyle>
    <tableStyle name="DATA_DRAFT (EVALUATION)-style 57" pivot="0" count="2" xr9:uid="{00000000-0011-0000-FFFF-FFFF89000000}">
      <tableStyleElement type="firstRowStripe" dxfId="401"/>
      <tableStyleElement type="secondRowStripe" dxfId="400"/>
    </tableStyle>
    <tableStyle name="DATA_DRAFT (EVALUATION)-style 58" pivot="0" count="2" xr9:uid="{00000000-0011-0000-FFFF-FFFF8A000000}">
      <tableStyleElement type="firstRowStripe" dxfId="399"/>
      <tableStyleElement type="secondRowStripe" dxfId="398"/>
    </tableStyle>
    <tableStyle name="DATA_DRAFT (EVALUATION)-style 59" pivot="0" count="2" xr9:uid="{00000000-0011-0000-FFFF-FFFF8B000000}">
      <tableStyleElement type="firstRowStripe" dxfId="397"/>
      <tableStyleElement type="secondRowStripe" dxfId="396"/>
    </tableStyle>
    <tableStyle name="DATA_DRAFT (EVALUATION)-style 60" pivot="0" count="2" xr9:uid="{00000000-0011-0000-FFFF-FFFF8C000000}">
      <tableStyleElement type="firstRowStripe" dxfId="395"/>
      <tableStyleElement type="secondRowStripe" dxfId="394"/>
    </tableStyle>
    <tableStyle name="DATA_DRAFT (EVALUATION)-style 61" pivot="0" count="2" xr9:uid="{00000000-0011-0000-FFFF-FFFF8D000000}">
      <tableStyleElement type="firstRowStripe" dxfId="393"/>
      <tableStyleElement type="secondRowStripe" dxfId="392"/>
    </tableStyle>
    <tableStyle name="DATA_DRAFT (EVALUATION)-style 62" pivot="0" count="2" xr9:uid="{00000000-0011-0000-FFFF-FFFF8E000000}">
      <tableStyleElement type="firstRowStripe" dxfId="391"/>
      <tableStyleElement type="secondRowStripe" dxfId="390"/>
    </tableStyle>
    <tableStyle name="DATA_DRAFT (EVALUATION)-style 63" pivot="0" count="2" xr9:uid="{00000000-0011-0000-FFFF-FFFF8F000000}">
      <tableStyleElement type="firstRowStripe" dxfId="389"/>
      <tableStyleElement type="secondRowStripe" dxfId="388"/>
    </tableStyle>
    <tableStyle name="DATA_DRAFT (EVALUATION)-style 64" pivot="0" count="2" xr9:uid="{00000000-0011-0000-FFFF-FFFF90000000}">
      <tableStyleElement type="firstRowStripe" dxfId="387"/>
      <tableStyleElement type="secondRowStripe" dxfId="386"/>
    </tableStyle>
    <tableStyle name="DATA_DRAFT (EVALUATION)-style 65" pivot="0" count="2" xr9:uid="{00000000-0011-0000-FFFF-FFFF91000000}">
      <tableStyleElement type="firstRowStripe" dxfId="385"/>
      <tableStyleElement type="secondRowStripe" dxfId="384"/>
    </tableStyle>
    <tableStyle name="DATA_DRAFT (EVALUATION)-style 66" pivot="0" count="2" xr9:uid="{00000000-0011-0000-FFFF-FFFF92000000}">
      <tableStyleElement type="firstRowStripe" dxfId="383"/>
      <tableStyleElement type="secondRowStripe" dxfId="382"/>
    </tableStyle>
    <tableStyle name="DATA_DRAFT (EVALUATION)-style 67" pivot="0" count="2" xr9:uid="{00000000-0011-0000-FFFF-FFFF93000000}">
      <tableStyleElement type="firstRowStripe" dxfId="381"/>
      <tableStyleElement type="secondRowStripe" dxfId="380"/>
    </tableStyle>
    <tableStyle name="DATA_DRAFT (EVALUATION)-style 68" pivot="0" count="2" xr9:uid="{00000000-0011-0000-FFFF-FFFF94000000}">
      <tableStyleElement type="firstRowStripe" dxfId="379"/>
      <tableStyleElement type="secondRowStripe" dxfId="378"/>
    </tableStyle>
    <tableStyle name="DATA_DRAFT (EVALUATION)-style 69" pivot="0" count="2" xr9:uid="{00000000-0011-0000-FFFF-FFFF95000000}">
      <tableStyleElement type="firstRowStripe" dxfId="377"/>
      <tableStyleElement type="secondRowStripe" dxfId="376"/>
    </tableStyle>
    <tableStyle name="DATA_DRAFT (EVALUATION)-style 70" pivot="0" count="2" xr9:uid="{00000000-0011-0000-FFFF-FFFF96000000}">
      <tableStyleElement type="firstRowStripe" dxfId="375"/>
      <tableStyleElement type="secondRowStripe" dxfId="374"/>
    </tableStyle>
    <tableStyle name="DATA_DRAFT (EVALUATION)-style 71" pivot="0" count="2" xr9:uid="{00000000-0011-0000-FFFF-FFFF97000000}">
      <tableStyleElement type="firstRowStripe" dxfId="373"/>
      <tableStyleElement type="secondRowStripe" dxfId="372"/>
    </tableStyle>
    <tableStyle name="DATA_DRAFT (EVALUATION)-style 72" pivot="0" count="2" xr9:uid="{00000000-0011-0000-FFFF-FFFF98000000}">
      <tableStyleElement type="firstRowStripe" dxfId="371"/>
      <tableStyleElement type="secondRowStripe" dxfId="370"/>
    </tableStyle>
    <tableStyle name="DATA_DRAFT (EVALUATION)-style 73" pivot="0" count="2" xr9:uid="{00000000-0011-0000-FFFF-FFFF99000000}">
      <tableStyleElement type="firstRowStripe" dxfId="369"/>
      <tableStyleElement type="secondRowStripe" dxfId="368"/>
    </tableStyle>
    <tableStyle name="DATA_DRAFT (EVALUATION)-style 74" pivot="0" count="2" xr9:uid="{00000000-0011-0000-FFFF-FFFF9A000000}">
      <tableStyleElement type="firstRowStripe" dxfId="367"/>
      <tableStyleElement type="secondRowStripe" dxfId="366"/>
    </tableStyle>
    <tableStyle name="DATA_DRAFT (EVALUATION)-style 75" pivot="0" count="2" xr9:uid="{00000000-0011-0000-FFFF-FFFF9B000000}">
      <tableStyleElement type="firstRowStripe" dxfId="365"/>
      <tableStyleElement type="secondRowStripe" dxfId="364"/>
    </tableStyle>
    <tableStyle name="DATA_DRAFT (EVALUATION)-style 76" pivot="0" count="2" xr9:uid="{00000000-0011-0000-FFFF-FFFF9C000000}">
      <tableStyleElement type="firstRowStripe" dxfId="363"/>
      <tableStyleElement type="secondRowStripe" dxfId="362"/>
    </tableStyle>
    <tableStyle name="DATA_DRAFT (EVALUATION)-style 77" pivot="0" count="2" xr9:uid="{00000000-0011-0000-FFFF-FFFF9D000000}">
      <tableStyleElement type="firstRowStripe" dxfId="361"/>
      <tableStyleElement type="secondRowStripe" dxfId="360"/>
    </tableStyle>
    <tableStyle name="DATA_DRAFT (EVALUATION)-style 78" pivot="0" count="2" xr9:uid="{00000000-0011-0000-FFFF-FFFF9E000000}">
      <tableStyleElement type="firstRowStripe" dxfId="359"/>
      <tableStyleElement type="secondRowStripe" dxfId="358"/>
    </tableStyle>
    <tableStyle name="DATA_DRAFT (EVALUATION)-style 79" pivot="0" count="2" xr9:uid="{00000000-0011-0000-FFFF-FFFF9F000000}">
      <tableStyleElement type="firstRowStripe" dxfId="357"/>
      <tableStyleElement type="secondRowStripe" dxfId="356"/>
    </tableStyle>
    <tableStyle name="DATA_DRAFT (EVALUATION)-style 80" pivot="0" count="2" xr9:uid="{00000000-0011-0000-FFFF-FFFFA0000000}">
      <tableStyleElement type="firstRowStripe" dxfId="355"/>
      <tableStyleElement type="secondRowStripe" dxfId="354"/>
    </tableStyle>
    <tableStyle name="DATA_DRAFT (EVALUATION)-style 81" pivot="0" count="2" xr9:uid="{00000000-0011-0000-FFFF-FFFFA1000000}">
      <tableStyleElement type="firstRowStripe" dxfId="353"/>
      <tableStyleElement type="secondRowStripe" dxfId="352"/>
    </tableStyle>
    <tableStyle name="DATA_DRAFT (EVALUATION)-style 82" pivot="0" count="2" xr9:uid="{00000000-0011-0000-FFFF-FFFFA2000000}">
      <tableStyleElement type="firstRowStripe" dxfId="351"/>
      <tableStyleElement type="secondRowStripe" dxfId="350"/>
    </tableStyle>
    <tableStyle name="DATA_DRAFT (EVALUATION)-style 83" pivot="0" count="2" xr9:uid="{00000000-0011-0000-FFFF-FFFFA3000000}">
      <tableStyleElement type="firstRowStripe" dxfId="349"/>
      <tableStyleElement type="secondRowStripe" dxfId="348"/>
    </tableStyle>
    <tableStyle name="DATA_DRAFT (EVALUATION)-style 84" pivot="0" count="2" xr9:uid="{00000000-0011-0000-FFFF-FFFFA4000000}">
      <tableStyleElement type="firstRowStripe" dxfId="347"/>
      <tableStyleElement type="secondRowStripe" dxfId="346"/>
    </tableStyle>
    <tableStyle name="DATA_DRAFT (EVALUATION)-style 85" pivot="0" count="2" xr9:uid="{00000000-0011-0000-FFFF-FFFFA5000000}">
      <tableStyleElement type="firstRowStripe" dxfId="345"/>
      <tableStyleElement type="secondRowStripe" dxfId="344"/>
    </tableStyle>
    <tableStyle name="DATA_DRAFT (EVALUATION)-style 86" pivot="0" count="2" xr9:uid="{00000000-0011-0000-FFFF-FFFFA6000000}">
      <tableStyleElement type="firstRowStripe" dxfId="343"/>
      <tableStyleElement type="secondRowStripe" dxfId="342"/>
    </tableStyle>
    <tableStyle name="DATA_DRAFT (EVALUATION)-style 87" pivot="0" count="2" xr9:uid="{00000000-0011-0000-FFFF-FFFFA7000000}">
      <tableStyleElement type="firstRowStripe" dxfId="341"/>
      <tableStyleElement type="secondRowStripe" dxfId="340"/>
    </tableStyle>
    <tableStyle name="DATA_DRAFT (EVALUATION)-style 88" pivot="0" count="2" xr9:uid="{00000000-0011-0000-FFFF-FFFFA8000000}">
      <tableStyleElement type="firstRowStripe" dxfId="339"/>
      <tableStyleElement type="secondRowStripe" dxfId="338"/>
    </tableStyle>
    <tableStyle name="DATA_DRAFT (EVALUATION)-style 89" pivot="0" count="2" xr9:uid="{00000000-0011-0000-FFFF-FFFFA9000000}">
      <tableStyleElement type="firstRowStripe" dxfId="337"/>
      <tableStyleElement type="secondRowStripe" dxfId="336"/>
    </tableStyle>
    <tableStyle name="DATA_DRAFT (EVALUATION)-style 90" pivot="0" count="2" xr9:uid="{00000000-0011-0000-FFFF-FFFFAA000000}">
      <tableStyleElement type="firstRowStripe" dxfId="335"/>
      <tableStyleElement type="secondRowStripe" dxfId="334"/>
    </tableStyle>
    <tableStyle name="DATA_DRAFT (EVALUATION)-style 91" pivot="0" count="2" xr9:uid="{00000000-0011-0000-FFFF-FFFFAB000000}">
      <tableStyleElement type="firstRowStripe" dxfId="333"/>
      <tableStyleElement type="secondRowStripe" dxfId="332"/>
    </tableStyle>
    <tableStyle name="DATA_DRAFT (EVALUATION)-style 92" pivot="0" count="2" xr9:uid="{00000000-0011-0000-FFFF-FFFFAC000000}">
      <tableStyleElement type="firstRowStripe" dxfId="331"/>
      <tableStyleElement type="secondRowStripe" dxfId="330"/>
    </tableStyle>
    <tableStyle name="DATA_DRAFT (EVALUATION)-style 93" pivot="0" count="2" xr9:uid="{00000000-0011-0000-FFFF-FFFFAD000000}">
      <tableStyleElement type="firstRowStripe" dxfId="329"/>
      <tableStyleElement type="secondRowStripe" dxfId="328"/>
    </tableStyle>
    <tableStyle name="DATA_DRAFT (EVALUATION)-style 94" pivot="0" count="2" xr9:uid="{00000000-0011-0000-FFFF-FFFFAE000000}">
      <tableStyleElement type="firstRowStripe" dxfId="327"/>
      <tableStyleElement type="secondRowStripe" dxfId="326"/>
    </tableStyle>
    <tableStyle name="DATA_DRAFT (EVALUATION)-style 95" pivot="0" count="2" xr9:uid="{00000000-0011-0000-FFFF-FFFFAF000000}">
      <tableStyleElement type="firstRowStripe" dxfId="325"/>
      <tableStyleElement type="secondRowStripe" dxfId="324"/>
    </tableStyle>
    <tableStyle name="DATA_DRAFT (EVALUATION)-style 96" pivot="0" count="2" xr9:uid="{00000000-0011-0000-FFFF-FFFFB0000000}">
      <tableStyleElement type="firstRowStripe" dxfId="323"/>
      <tableStyleElement type="secondRowStripe" dxfId="322"/>
    </tableStyle>
    <tableStyle name="DATA_DRAFT (EVALUATION)-style 97" pivot="0" count="2" xr9:uid="{00000000-0011-0000-FFFF-FFFFB1000000}">
      <tableStyleElement type="firstRowStripe" dxfId="321"/>
      <tableStyleElement type="secondRowStripe" dxfId="320"/>
    </tableStyle>
    <tableStyle name="DATA_DRAFT (EVALUATION)-style 98" pivot="0" count="2" xr9:uid="{00000000-0011-0000-FFFF-FFFFB2000000}">
      <tableStyleElement type="firstRowStripe" dxfId="319"/>
      <tableStyleElement type="secondRowStripe" dxfId="318"/>
    </tableStyle>
    <tableStyle name="DATA_DRAFT (EVALUATION)-style 99" pivot="0" count="2" xr9:uid="{00000000-0011-0000-FFFF-FFFFB3000000}">
      <tableStyleElement type="firstRowStripe" dxfId="317"/>
      <tableStyleElement type="secondRowStripe" dxfId="316"/>
    </tableStyle>
    <tableStyle name="DATA_DRAFT (EVALUATION)-style 100" pivot="0" count="2" xr9:uid="{00000000-0011-0000-FFFF-FFFFB4000000}">
      <tableStyleElement type="firstRowStripe" dxfId="315"/>
      <tableStyleElement type="secondRowStripe" dxfId="314"/>
    </tableStyle>
    <tableStyle name="DATA_DRAFT (EVALUATION)-style 101" pivot="0" count="2" xr9:uid="{00000000-0011-0000-FFFF-FFFFB5000000}">
      <tableStyleElement type="firstRowStripe" dxfId="313"/>
      <tableStyleElement type="secondRowStripe" dxfId="312"/>
    </tableStyle>
    <tableStyle name="DATA_DRAFT (EVALUATION)-style 102" pivot="0" count="2" xr9:uid="{00000000-0011-0000-FFFF-FFFFB6000000}">
      <tableStyleElement type="firstRowStripe" dxfId="311"/>
      <tableStyleElement type="secondRowStripe" dxfId="310"/>
    </tableStyle>
    <tableStyle name="DATA_DRAFT (EVALUATION)-style 103" pivot="0" count="2" xr9:uid="{00000000-0011-0000-FFFF-FFFFB7000000}">
      <tableStyleElement type="firstRowStripe" dxfId="309"/>
      <tableStyleElement type="secondRowStripe" dxfId="308"/>
    </tableStyle>
    <tableStyle name="DATA_DRAFT (EVALUATION)-style 104" pivot="0" count="2" xr9:uid="{00000000-0011-0000-FFFF-FFFFB8000000}">
      <tableStyleElement type="firstRowStripe" dxfId="307"/>
      <tableStyleElement type="secondRowStripe" dxfId="306"/>
    </tableStyle>
    <tableStyle name="DATA_DRAFT (EVALUATION)-style 105" pivot="0" count="2" xr9:uid="{00000000-0011-0000-FFFF-FFFFB9000000}">
      <tableStyleElement type="firstRowStripe" dxfId="305"/>
      <tableStyleElement type="secondRowStripe" dxfId="304"/>
    </tableStyle>
    <tableStyle name="DATA_DRAFT (EVALUATION)-style 106" pivot="0" count="2" xr9:uid="{00000000-0011-0000-FFFF-FFFFBA000000}">
      <tableStyleElement type="firstRowStripe" dxfId="303"/>
      <tableStyleElement type="secondRowStripe" dxfId="302"/>
    </tableStyle>
    <tableStyle name="DATA_DRAFT (EVALUATION)-style 107" pivot="0" count="2" xr9:uid="{00000000-0011-0000-FFFF-FFFFBB000000}">
      <tableStyleElement type="firstRowStripe" dxfId="301"/>
      <tableStyleElement type="secondRowStripe" dxfId="300"/>
    </tableStyle>
    <tableStyle name="DATA_DRAFT (EVALUATION)-style 108" pivot="0" count="2" xr9:uid="{00000000-0011-0000-FFFF-FFFFBC000000}">
      <tableStyleElement type="firstRowStripe" dxfId="299"/>
      <tableStyleElement type="secondRowStripe" dxfId="298"/>
    </tableStyle>
    <tableStyle name="DATA_DRAFT (EVALUATION)-style 109" pivot="0" count="2" xr9:uid="{00000000-0011-0000-FFFF-FFFFBD000000}">
      <tableStyleElement type="firstRowStripe" dxfId="297"/>
      <tableStyleElement type="secondRowStripe" dxfId="296"/>
    </tableStyle>
    <tableStyle name="DATA_DRAFT (MODEL)-style" pivot="0" count="4" xr9:uid="{00000000-0011-0000-FFFF-FFFFBE000000}">
      <tableStyleElement type="wholeTable" size="0" dxfId="295"/>
      <tableStyleElement type="headerRow" dxfId="294"/>
      <tableStyleElement type="firstRowStripe" dxfId="293"/>
      <tableStyleElement type="secondRowStripe" dxfId="292"/>
    </tableStyle>
    <tableStyle name="DATA_DRAFT (MODEL)-style 2" pivot="0" count="2" xr9:uid="{00000000-0011-0000-FFFF-FFFFBF000000}">
      <tableStyleElement type="firstRowStripe" dxfId="291"/>
      <tableStyleElement type="secondRowStripe" dxfId="290"/>
    </tableStyle>
    <tableStyle name="DATA_DRAFT (MODEL)-style 3" pivot="0" count="2" xr9:uid="{00000000-0011-0000-FFFF-FFFFC0000000}">
      <tableStyleElement type="firstRowStripe" dxfId="289"/>
      <tableStyleElement type="secondRowStripe" dxfId="288"/>
    </tableStyle>
    <tableStyle name="DATA_DRAFT (MODEL)-style 4" pivot="0" count="2" xr9:uid="{00000000-0011-0000-FFFF-FFFFC1000000}">
      <tableStyleElement type="firstRowStripe" dxfId="287"/>
      <tableStyleElement type="secondRowStripe" dxfId="286"/>
    </tableStyle>
    <tableStyle name="DATA_DRAFT (MODEL)-style 5" pivot="0" count="2" xr9:uid="{00000000-0011-0000-FFFF-FFFFC2000000}">
      <tableStyleElement type="firstRowStripe" dxfId="285"/>
      <tableStyleElement type="secondRowStripe" dxfId="284"/>
    </tableStyle>
    <tableStyle name="DATA_DRAFT (MODEL)-style 6" pivot="0" count="2" xr9:uid="{00000000-0011-0000-FFFF-FFFFC3000000}">
      <tableStyleElement type="firstRowStripe" dxfId="283"/>
      <tableStyleElement type="secondRowStripe" dxfId="282"/>
    </tableStyle>
    <tableStyle name="DATA_DRAFT (MODEL)-style 7" pivot="0" count="2" xr9:uid="{00000000-0011-0000-FFFF-FFFFC4000000}">
      <tableStyleElement type="firstRowStripe" dxfId="281"/>
      <tableStyleElement type="secondRowStripe" dxfId="280"/>
    </tableStyle>
    <tableStyle name="DATA_DRAFT (MODEL)-style 8" pivot="0" count="2" xr9:uid="{00000000-0011-0000-FFFF-FFFFC5000000}">
      <tableStyleElement type="firstRowStripe" dxfId="279"/>
      <tableStyleElement type="secondRowStripe" dxfId="278"/>
    </tableStyle>
    <tableStyle name="DATA_DRAFT (MODEL)-style 9" pivot="0" count="2" xr9:uid="{00000000-0011-0000-FFFF-FFFFC6000000}">
      <tableStyleElement type="firstRowStripe" dxfId="277"/>
      <tableStyleElement type="secondRowStripe" dxfId="276"/>
    </tableStyle>
    <tableStyle name="DATA_DRAFT (MODEL)-style 10" pivot="0" count="2" xr9:uid="{00000000-0011-0000-FFFF-FFFFC7000000}">
      <tableStyleElement type="firstRowStripe" dxfId="275"/>
      <tableStyleElement type="secondRowStripe" dxfId="274"/>
    </tableStyle>
    <tableStyle name="DATA_DRAFT (MODEL)-style 11" pivot="0" count="2" xr9:uid="{00000000-0011-0000-FFFF-FFFFC8000000}">
      <tableStyleElement type="firstRowStripe" dxfId="273"/>
      <tableStyleElement type="secondRowStripe" dxfId="272"/>
    </tableStyle>
    <tableStyle name="DATA_DRAFT (MODEL)-style 12" pivot="0" count="2" xr9:uid="{00000000-0011-0000-FFFF-FFFFC9000000}">
      <tableStyleElement type="firstRowStripe" dxfId="271"/>
      <tableStyleElement type="secondRowStripe" dxfId="270"/>
    </tableStyle>
    <tableStyle name="DATA_DRAFT (MODEL)-style 13" pivot="0" count="2" xr9:uid="{00000000-0011-0000-FFFF-FFFFCA000000}">
      <tableStyleElement type="firstRowStripe" dxfId="269"/>
      <tableStyleElement type="secondRowStripe" dxfId="268"/>
    </tableStyle>
    <tableStyle name="DATA_DRAFT (MODEL)-style 14" pivot="0" count="2" xr9:uid="{00000000-0011-0000-FFFF-FFFFCB000000}">
      <tableStyleElement type="firstRowStripe" dxfId="267"/>
      <tableStyleElement type="secondRowStripe" dxfId="266"/>
    </tableStyle>
    <tableStyle name="DATA_DRAFT (MODEL)-style 15" pivot="0" count="2" xr9:uid="{00000000-0011-0000-FFFF-FFFFCC000000}">
      <tableStyleElement type="firstRowStripe" dxfId="265"/>
      <tableStyleElement type="secondRowStripe" dxfId="264"/>
    </tableStyle>
    <tableStyle name="DATA_DRAFT (MODEL)-style 16" pivot="0" count="2" xr9:uid="{00000000-0011-0000-FFFF-FFFFCD000000}">
      <tableStyleElement type="firstRowStripe" dxfId="263"/>
      <tableStyleElement type="secondRowStripe" dxfId="262"/>
    </tableStyle>
    <tableStyle name="DATA_DRAFT (MODEL)-style 17" pivot="0" count="2" xr9:uid="{00000000-0011-0000-FFFF-FFFFCE000000}">
      <tableStyleElement type="firstRowStripe" dxfId="261"/>
      <tableStyleElement type="secondRowStripe" dxfId="260"/>
    </tableStyle>
    <tableStyle name="DATA_DRAFT (MODEL)-style 18" pivot="0" count="2" xr9:uid="{00000000-0011-0000-FFFF-FFFFCF000000}">
      <tableStyleElement type="firstRowStripe" dxfId="259"/>
      <tableStyleElement type="secondRowStripe" dxfId="258"/>
    </tableStyle>
    <tableStyle name="DATA_DRAFT (MODEL)-style 19" pivot="0" count="2" xr9:uid="{00000000-0011-0000-FFFF-FFFFD0000000}">
      <tableStyleElement type="firstRowStripe" dxfId="257"/>
      <tableStyleElement type="secondRowStripe" dxfId="256"/>
    </tableStyle>
    <tableStyle name="DATA_DRAFT (MODEL)-style 20" pivot="0" count="2" xr9:uid="{00000000-0011-0000-FFFF-FFFFD1000000}">
      <tableStyleElement type="firstRowStripe" dxfId="255"/>
      <tableStyleElement type="secondRowStripe" dxfId="254"/>
    </tableStyle>
    <tableStyle name="DATA_DRAFT (MODEL)-style 21" pivot="0" count="2" xr9:uid="{00000000-0011-0000-FFFF-FFFFD2000000}">
      <tableStyleElement type="firstRowStripe" dxfId="253"/>
      <tableStyleElement type="secondRowStripe" dxfId="252"/>
    </tableStyle>
    <tableStyle name="DATA_DRAFT (MODEL)-style 22" pivot="0" count="2" xr9:uid="{00000000-0011-0000-FFFF-FFFFD3000000}">
      <tableStyleElement type="firstRowStripe" dxfId="251"/>
      <tableStyleElement type="secondRowStripe" dxfId="250"/>
    </tableStyle>
    <tableStyle name="DATA_DRAFT (MODEL)-style 23" pivot="0" count="2" xr9:uid="{00000000-0011-0000-FFFF-FFFFD4000000}">
      <tableStyleElement type="firstRowStripe" dxfId="249"/>
      <tableStyleElement type="secondRowStripe" dxfId="248"/>
    </tableStyle>
    <tableStyle name="DATA_DRAFT (MODEL)-style 24" pivot="0" count="2" xr9:uid="{00000000-0011-0000-FFFF-FFFFD5000000}">
      <tableStyleElement type="firstRowStripe" dxfId="247"/>
      <tableStyleElement type="secondRowStripe" dxfId="246"/>
    </tableStyle>
    <tableStyle name="DATA_DRAFT (MODEL)-style 25" pivot="0" count="2" xr9:uid="{00000000-0011-0000-FFFF-FFFFD6000000}">
      <tableStyleElement type="firstRowStripe" dxfId="245"/>
      <tableStyleElement type="secondRowStripe" dxfId="244"/>
    </tableStyle>
    <tableStyle name="DATA_DRAFT (MODEL)-style 26" pivot="0" count="2" xr9:uid="{00000000-0011-0000-FFFF-FFFFD7000000}">
      <tableStyleElement type="firstRowStripe" dxfId="243"/>
      <tableStyleElement type="secondRowStripe" dxfId="242"/>
    </tableStyle>
    <tableStyle name="DATA_DRAFT (MODEL)-style 27" pivot="0" count="2" xr9:uid="{00000000-0011-0000-FFFF-FFFFD8000000}">
      <tableStyleElement type="firstRowStripe" dxfId="241"/>
      <tableStyleElement type="secondRowStripe" dxfId="240"/>
    </tableStyle>
    <tableStyle name="DATA_DRAFT (MODEL)-style 28" pivot="0" count="2" xr9:uid="{00000000-0011-0000-FFFF-FFFFD9000000}">
      <tableStyleElement type="firstRowStripe" dxfId="239"/>
      <tableStyleElement type="secondRowStripe" dxfId="238"/>
    </tableStyle>
    <tableStyle name="DATA_DRAFT (MODEL)-style 29" pivot="0" count="2" xr9:uid="{00000000-0011-0000-FFFF-FFFFDA000000}">
      <tableStyleElement type="firstRowStripe" dxfId="237"/>
      <tableStyleElement type="secondRowStripe" dxfId="236"/>
    </tableStyle>
    <tableStyle name="DATA_DRAFT (MODEL)-style 30" pivot="0" count="2" xr9:uid="{00000000-0011-0000-FFFF-FFFFDB000000}">
      <tableStyleElement type="firstRowStripe" dxfId="235"/>
      <tableStyleElement type="secondRowStripe" dxfId="234"/>
    </tableStyle>
    <tableStyle name="DATA_DRAFT (MODEL)-style 31" pivot="0" count="2" xr9:uid="{00000000-0011-0000-FFFF-FFFFDC000000}">
      <tableStyleElement type="firstRowStripe" dxfId="233"/>
      <tableStyleElement type="secondRowStripe" dxfId="232"/>
    </tableStyle>
    <tableStyle name="DATA_DRAFT (MODEL)-style 32" pivot="0" count="2" xr9:uid="{00000000-0011-0000-FFFF-FFFFDD000000}">
      <tableStyleElement type="firstRowStripe" dxfId="231"/>
      <tableStyleElement type="secondRowStripe" dxfId="230"/>
    </tableStyle>
    <tableStyle name="DATA_DRAFT (MODEL)-style 33" pivot="0" count="2" xr9:uid="{00000000-0011-0000-FFFF-FFFFDE000000}">
      <tableStyleElement type="firstRowStripe" dxfId="229"/>
      <tableStyleElement type="secondRowStripe" dxfId="228"/>
    </tableStyle>
    <tableStyle name="DATA_DRAFT (MODEL)-style 34" pivot="0" count="2" xr9:uid="{00000000-0011-0000-FFFF-FFFFDF000000}">
      <tableStyleElement type="firstRowStripe" dxfId="227"/>
      <tableStyleElement type="secondRowStripe" dxfId="226"/>
    </tableStyle>
    <tableStyle name="DATA_DRAFT (MODEL)-style 35" pivot="0" count="2" xr9:uid="{00000000-0011-0000-FFFF-FFFFE0000000}">
      <tableStyleElement type="firstRowStripe" dxfId="225"/>
      <tableStyleElement type="secondRowStripe" dxfId="224"/>
    </tableStyle>
    <tableStyle name="DATA_DRAFT (MODEL)-style 36" pivot="0" count="2" xr9:uid="{00000000-0011-0000-FFFF-FFFFE1000000}">
      <tableStyleElement type="firstRowStripe" dxfId="223"/>
      <tableStyleElement type="secondRowStripe" dxfId="222"/>
    </tableStyle>
    <tableStyle name="DATA_DRAFT (MODEL)-style 37" pivot="0" count="2" xr9:uid="{00000000-0011-0000-FFFF-FFFFE2000000}">
      <tableStyleElement type="firstRowStripe" dxfId="221"/>
      <tableStyleElement type="secondRowStripe" dxfId="220"/>
    </tableStyle>
    <tableStyle name="DATA_DRAFT (MODEL)-style 38" pivot="0" count="2" xr9:uid="{00000000-0011-0000-FFFF-FFFFE3000000}">
      <tableStyleElement type="firstRowStripe" dxfId="219"/>
      <tableStyleElement type="secondRowStripe" dxfId="218"/>
    </tableStyle>
    <tableStyle name="DATA_DRAFT (MODEL)-style 39" pivot="0" count="2" xr9:uid="{00000000-0011-0000-FFFF-FFFFE4000000}">
      <tableStyleElement type="firstRowStripe" dxfId="217"/>
      <tableStyleElement type="secondRowStripe" dxfId="216"/>
    </tableStyle>
    <tableStyle name="DATA_DRAFT (MODEL)-style 40" pivot="0" count="2" xr9:uid="{00000000-0011-0000-FFFF-FFFFE5000000}">
      <tableStyleElement type="firstRowStripe" dxfId="215"/>
      <tableStyleElement type="secondRowStripe" dxfId="214"/>
    </tableStyle>
    <tableStyle name="DATA_DRAFT (MODEL)-style 41" pivot="0" count="2" xr9:uid="{00000000-0011-0000-FFFF-FFFFE6000000}">
      <tableStyleElement type="firstRowStripe" dxfId="213"/>
      <tableStyleElement type="secondRowStripe" dxfId="212"/>
    </tableStyle>
    <tableStyle name="DATA_DRAFT (MODEL)-style 42" pivot="0" count="2" xr9:uid="{00000000-0011-0000-FFFF-FFFFE7000000}">
      <tableStyleElement type="firstRowStripe" dxfId="211"/>
      <tableStyleElement type="secondRowStripe" dxfId="210"/>
    </tableStyle>
    <tableStyle name="DATA_DRAFT (MODEL)-style 43" pivot="0" count="2" xr9:uid="{00000000-0011-0000-FFFF-FFFFE8000000}">
      <tableStyleElement type="firstRowStripe" dxfId="209"/>
      <tableStyleElement type="secondRowStripe" dxfId="208"/>
    </tableStyle>
    <tableStyle name="DATA_DRAFT (MODEL)-style 44" pivot="0" count="2" xr9:uid="{00000000-0011-0000-FFFF-FFFFE9000000}">
      <tableStyleElement type="firstRowStripe" dxfId="207"/>
      <tableStyleElement type="secondRowStripe" dxfId="206"/>
    </tableStyle>
    <tableStyle name="DATA_DRAFT (MODEL)-style 45" pivot="0" count="2" xr9:uid="{00000000-0011-0000-FFFF-FFFFEA000000}">
      <tableStyleElement type="firstRowStripe" dxfId="205"/>
      <tableStyleElement type="secondRowStripe" dxfId="204"/>
    </tableStyle>
    <tableStyle name="DATA_DRAFT (MODEL)-style 46" pivot="0" count="2" xr9:uid="{00000000-0011-0000-FFFF-FFFFEB000000}">
      <tableStyleElement type="firstRowStripe" dxfId="203"/>
      <tableStyleElement type="secondRowStripe" dxfId="202"/>
    </tableStyle>
    <tableStyle name="DATA_DRAFT (MODEL)-style 47" pivot="0" count="2" xr9:uid="{00000000-0011-0000-FFFF-FFFFEC000000}">
      <tableStyleElement type="firstRowStripe" dxfId="201"/>
      <tableStyleElement type="secondRowStripe" dxfId="200"/>
    </tableStyle>
    <tableStyle name="DATA_DRAFT (MODEL)-style 48" pivot="0" count="2" xr9:uid="{00000000-0011-0000-FFFF-FFFFED000000}">
      <tableStyleElement type="firstRowStripe" dxfId="199"/>
      <tableStyleElement type="secondRowStripe" dxfId="198"/>
    </tableStyle>
    <tableStyle name="DATA_DRAFT (MODEL)-style 49" pivot="0" count="2" xr9:uid="{00000000-0011-0000-FFFF-FFFFEE000000}">
      <tableStyleElement type="firstRowStripe" dxfId="197"/>
      <tableStyleElement type="secondRowStripe" dxfId="196"/>
    </tableStyle>
    <tableStyle name="DATA_DRAFT (MODEL)-style 50" pivot="0" count="2" xr9:uid="{00000000-0011-0000-FFFF-FFFFEF000000}">
      <tableStyleElement type="firstRowStripe" dxfId="195"/>
      <tableStyleElement type="secondRowStripe" dxfId="194"/>
    </tableStyle>
    <tableStyle name="DATA_DRAFT (MODEL)-style 51" pivot="0" count="2" xr9:uid="{00000000-0011-0000-FFFF-FFFFF0000000}">
      <tableStyleElement type="firstRowStripe" dxfId="193"/>
      <tableStyleElement type="secondRowStripe" dxfId="192"/>
    </tableStyle>
    <tableStyle name="DATA_DRAFT (MODEL)-style 52" pivot="0" count="2" xr9:uid="{00000000-0011-0000-FFFF-FFFFF1000000}">
      <tableStyleElement type="firstRowStripe" dxfId="191"/>
      <tableStyleElement type="secondRowStripe" dxfId="190"/>
    </tableStyle>
    <tableStyle name="DATA_DRAFT (MODEL)-style 53" pivot="0" count="2" xr9:uid="{00000000-0011-0000-FFFF-FFFFF2000000}">
      <tableStyleElement type="firstRowStripe" dxfId="189"/>
      <tableStyleElement type="secondRowStripe" dxfId="188"/>
    </tableStyle>
    <tableStyle name="DATA_DRAFT (MODEL)-style 54" pivot="0" count="2" xr9:uid="{00000000-0011-0000-FFFF-FFFFF3000000}">
      <tableStyleElement type="firstRowStripe" dxfId="187"/>
      <tableStyleElement type="secondRowStripe" dxfId="186"/>
    </tableStyle>
    <tableStyle name="DATA_DRAFT (MODEL)-style 55" pivot="0" count="2" xr9:uid="{00000000-0011-0000-FFFF-FFFFF4000000}">
      <tableStyleElement type="firstRowStripe" dxfId="185"/>
      <tableStyleElement type="secondRowStripe" dxfId="184"/>
    </tableStyle>
    <tableStyle name="DATA_DRAFT (MODEL)-style 56" pivot="0" count="2" xr9:uid="{00000000-0011-0000-FFFF-FFFFF5000000}">
      <tableStyleElement type="firstRowStripe" dxfId="183"/>
      <tableStyleElement type="secondRowStripe" dxfId="182"/>
    </tableStyle>
    <tableStyle name="DATA_DRAFT (MODEL)-style 57" pivot="0" count="2" xr9:uid="{00000000-0011-0000-FFFF-FFFFF6000000}">
      <tableStyleElement type="firstRowStripe" dxfId="181"/>
      <tableStyleElement type="secondRowStripe" dxfId="180"/>
    </tableStyle>
    <tableStyle name="DATA_DRAFT (MODEL)-style 58" pivot="0" count="2" xr9:uid="{00000000-0011-0000-FFFF-FFFFF7000000}">
      <tableStyleElement type="firstRowStripe" dxfId="179"/>
      <tableStyleElement type="secondRowStripe" dxfId="178"/>
    </tableStyle>
    <tableStyle name="DATA_DRAFT (MODEL)-style 59" pivot="0" count="2" xr9:uid="{00000000-0011-0000-FFFF-FFFFF8000000}">
      <tableStyleElement type="firstRowStripe" dxfId="177"/>
      <tableStyleElement type="secondRowStripe" dxfId="176"/>
    </tableStyle>
    <tableStyle name="DATA_DRAFT (MODEL)-style 60" pivot="0" count="2" xr9:uid="{00000000-0011-0000-FFFF-FFFFF9000000}">
      <tableStyleElement type="firstRowStripe" dxfId="175"/>
      <tableStyleElement type="secondRowStripe" dxfId="174"/>
    </tableStyle>
    <tableStyle name="DATA_DRAFT (MODEL)-style 61" pivot="0" count="2" xr9:uid="{00000000-0011-0000-FFFF-FFFFFA000000}">
      <tableStyleElement type="firstRowStripe" dxfId="173"/>
      <tableStyleElement type="secondRowStripe" dxfId="172"/>
    </tableStyle>
    <tableStyle name="DATA_DRAFT (MODEL)-style 62" pivot="0" count="2" xr9:uid="{00000000-0011-0000-FFFF-FFFFFB000000}">
      <tableStyleElement type="firstRowStripe" dxfId="171"/>
      <tableStyleElement type="secondRowStripe" dxfId="170"/>
    </tableStyle>
    <tableStyle name="DATA_DRAFT (MODEL)-style 63" pivot="0" count="2" xr9:uid="{00000000-0011-0000-FFFF-FFFFFC000000}">
      <tableStyleElement type="firstRowStripe" dxfId="169"/>
      <tableStyleElement type="secondRowStripe" dxfId="168"/>
    </tableStyle>
    <tableStyle name="DATA_DRAFT (MODEL)-style 64" pivot="0" count="2" xr9:uid="{00000000-0011-0000-FFFF-FFFFFD000000}">
      <tableStyleElement type="firstRowStripe" dxfId="167"/>
      <tableStyleElement type="secondRowStripe" dxfId="166"/>
    </tableStyle>
    <tableStyle name="DATA_DRAFT (MODEL)-style 65" pivot="0" count="2" xr9:uid="{00000000-0011-0000-FFFF-FFFFFE000000}">
      <tableStyleElement type="firstRowStripe" dxfId="165"/>
      <tableStyleElement type="secondRowStripe" dxfId="164"/>
    </tableStyle>
    <tableStyle name="DATA_DRAFT (MODEL)-style 66" pivot="0" count="2" xr9:uid="{00000000-0011-0000-FFFF-FFFFFF000000}">
      <tableStyleElement type="firstRowStripe" dxfId="163"/>
      <tableStyleElement type="secondRowStripe" dxfId="162"/>
    </tableStyle>
    <tableStyle name="DATA_DRAFT (MODEL)-style 67" pivot="0" count="2" xr9:uid="{00000000-0011-0000-FFFF-FFFF00010000}">
      <tableStyleElement type="firstRowStripe" dxfId="161"/>
      <tableStyleElement type="secondRowStripe" dxfId="160"/>
    </tableStyle>
    <tableStyle name="DATA_DRAFT (MODEL)-style 68" pivot="0" count="2" xr9:uid="{00000000-0011-0000-FFFF-FFFF01010000}">
      <tableStyleElement type="firstRowStripe" dxfId="159"/>
      <tableStyleElement type="secondRowStripe" dxfId="158"/>
    </tableStyle>
    <tableStyle name="DATA_DRAFT (MODEL)-style 69" pivot="0" count="2" xr9:uid="{00000000-0011-0000-FFFF-FFFF02010000}">
      <tableStyleElement type="firstRowStripe" dxfId="157"/>
      <tableStyleElement type="secondRowStripe" dxfId="156"/>
    </tableStyle>
    <tableStyle name="DATA_DRAFT (MODEL)-style 70" pivot="0" count="2" xr9:uid="{00000000-0011-0000-FFFF-FFFF03010000}">
      <tableStyleElement type="firstRowStripe" dxfId="155"/>
      <tableStyleElement type="secondRowStripe" dxfId="154"/>
    </tableStyle>
    <tableStyle name="DATA_DRAFT (MODEL)-style 71" pivot="0" count="2" xr9:uid="{00000000-0011-0000-FFFF-FFFF04010000}">
      <tableStyleElement type="firstRowStripe" dxfId="153"/>
      <tableStyleElement type="secondRowStripe" dxfId="152"/>
    </tableStyle>
    <tableStyle name="DATA_DRAFT (MODEL)-style 72" pivot="0" count="2" xr9:uid="{00000000-0011-0000-FFFF-FFFF05010000}">
      <tableStyleElement type="firstRowStripe" dxfId="151"/>
      <tableStyleElement type="secondRowStripe" dxfId="150"/>
    </tableStyle>
    <tableStyle name="DATA_DRAFT (MODEL)-style 73" pivot="0" count="2" xr9:uid="{00000000-0011-0000-FFFF-FFFF06010000}">
      <tableStyleElement type="firstRowStripe" dxfId="149"/>
      <tableStyleElement type="secondRowStripe" dxfId="148"/>
    </tableStyle>
    <tableStyle name="DATA_DRAFT (MODEL)-style 74" pivot="0" count="2" xr9:uid="{00000000-0011-0000-FFFF-FFFF07010000}">
      <tableStyleElement type="firstRowStripe" dxfId="147"/>
      <tableStyleElement type="secondRowStripe" dxfId="146"/>
    </tableStyle>
    <tableStyle name="DATA_DRAFT (MODEL)-style 75" pivot="0" count="2" xr9:uid="{00000000-0011-0000-FFFF-FFFF08010000}">
      <tableStyleElement type="firstRowStripe" dxfId="145"/>
      <tableStyleElement type="secondRowStripe" dxfId="144"/>
    </tableStyle>
    <tableStyle name="DATA_DRAFT (MODEL)-style 76" pivot="0" count="2" xr9:uid="{00000000-0011-0000-FFFF-FFFF09010000}">
      <tableStyleElement type="firstRowStripe" dxfId="143"/>
      <tableStyleElement type="secondRowStripe" dxfId="142"/>
    </tableStyle>
    <tableStyle name="DATA_DRAFT (MODEL)-style 77" pivot="0" count="2" xr9:uid="{00000000-0011-0000-FFFF-FFFF0A010000}">
      <tableStyleElement type="firstRowStripe" dxfId="141"/>
      <tableStyleElement type="secondRowStripe" dxfId="140"/>
    </tableStyle>
    <tableStyle name="DATA_DRAFT (MODEL)-style 78" pivot="0" count="2" xr9:uid="{00000000-0011-0000-FFFF-FFFF0B010000}">
      <tableStyleElement type="firstRowStripe" dxfId="139"/>
      <tableStyleElement type="secondRowStripe" dxfId="138"/>
    </tableStyle>
    <tableStyle name="DATA_DRAFT (MODEL)-style 79" pivot="0" count="2" xr9:uid="{00000000-0011-0000-FFFF-FFFF0C010000}">
      <tableStyleElement type="firstRowStripe" dxfId="137"/>
      <tableStyleElement type="secondRowStripe" dxfId="136"/>
    </tableStyle>
    <tableStyle name="DATA_DRAFT (MODEL)-style 80" pivot="0" count="2" xr9:uid="{00000000-0011-0000-FFFF-FFFF0D010000}">
      <tableStyleElement type="firstRowStripe" dxfId="135"/>
      <tableStyleElement type="secondRowStripe" dxfId="134"/>
    </tableStyle>
    <tableStyle name="DATA_DRAFT (MODEL)-style 81" pivot="0" count="2" xr9:uid="{00000000-0011-0000-FFFF-FFFF0E010000}">
      <tableStyleElement type="firstRowStripe" dxfId="133"/>
      <tableStyleElement type="secondRowStripe" dxfId="132"/>
    </tableStyle>
    <tableStyle name="DATA_DRAFT (MODEL)-style 82" pivot="0" count="2" xr9:uid="{00000000-0011-0000-FFFF-FFFF0F010000}">
      <tableStyleElement type="firstRowStripe" dxfId="131"/>
      <tableStyleElement type="secondRowStripe" dxfId="130"/>
    </tableStyle>
    <tableStyle name="DATA_DRAFT (MODEL)-style 83" pivot="0" count="2" xr9:uid="{00000000-0011-0000-FFFF-FFFF10010000}">
      <tableStyleElement type="firstRowStripe" dxfId="129"/>
      <tableStyleElement type="secondRowStripe" dxfId="128"/>
    </tableStyle>
    <tableStyle name="DATA_DRAFT (MODEL)-style 84" pivot="0" count="2" xr9:uid="{00000000-0011-0000-FFFF-FFFF11010000}">
      <tableStyleElement type="firstRowStripe" dxfId="127"/>
      <tableStyleElement type="secondRowStripe" dxfId="126"/>
    </tableStyle>
    <tableStyle name="DATA_DRAFT (MODEL)-style 85" pivot="0" count="2" xr9:uid="{00000000-0011-0000-FFFF-FFFF12010000}">
      <tableStyleElement type="firstRowStripe" dxfId="125"/>
      <tableStyleElement type="secondRowStripe" dxfId="124"/>
    </tableStyle>
    <tableStyle name="DATA_DRAFT (MODEL)-style 86" pivot="0" count="2" xr9:uid="{00000000-0011-0000-FFFF-FFFF13010000}">
      <tableStyleElement type="firstRowStripe" dxfId="123"/>
      <tableStyleElement type="secondRowStripe" dxfId="122"/>
    </tableStyle>
    <tableStyle name="DATA_DRAFT (MODEL)-style 87" pivot="0" count="2" xr9:uid="{00000000-0011-0000-FFFF-FFFF14010000}">
      <tableStyleElement type="firstRowStripe" dxfId="121"/>
      <tableStyleElement type="secondRowStripe" dxfId="120"/>
    </tableStyle>
    <tableStyle name="DATA_DRAFT (MODEL)-style 88" pivot="0" count="2" xr9:uid="{00000000-0011-0000-FFFF-FFFF15010000}">
      <tableStyleElement type="firstRowStripe" dxfId="119"/>
      <tableStyleElement type="secondRowStripe" dxfId="118"/>
    </tableStyle>
    <tableStyle name="DATA_DRAFT (MODEL)-style 89" pivot="0" count="2" xr9:uid="{00000000-0011-0000-FFFF-FFFF16010000}">
      <tableStyleElement type="firstRowStripe" dxfId="117"/>
      <tableStyleElement type="secondRowStripe" dxfId="116"/>
    </tableStyle>
    <tableStyle name="DATA_DRAFT (MODEL)-style 90" pivot="0" count="2" xr9:uid="{00000000-0011-0000-FFFF-FFFF17010000}">
      <tableStyleElement type="firstRowStripe" dxfId="115"/>
      <tableStyleElement type="secondRowStripe" dxfId="114"/>
    </tableStyle>
    <tableStyle name="DATA_DRAFT (MODEL)-style 91" pivot="0" count="2" xr9:uid="{00000000-0011-0000-FFFF-FFFF18010000}">
      <tableStyleElement type="firstRowStripe" dxfId="113"/>
      <tableStyleElement type="secondRowStripe" dxfId="112"/>
    </tableStyle>
    <tableStyle name="DATA_DRAFT (MODEL)-style 92" pivot="0" count="2" xr9:uid="{00000000-0011-0000-FFFF-FFFF19010000}">
      <tableStyleElement type="firstRowStripe" dxfId="111"/>
      <tableStyleElement type="secondRowStripe" dxfId="110"/>
    </tableStyle>
    <tableStyle name="DATA_DRAFT (MODEL)-style 93" pivot="0" count="2" xr9:uid="{00000000-0011-0000-FFFF-FFFF1A010000}">
      <tableStyleElement type="firstRowStripe" dxfId="109"/>
      <tableStyleElement type="secondRowStripe" dxfId="108"/>
    </tableStyle>
    <tableStyle name="DATA_DRAFT (MODEL)-style 94" pivot="0" count="2" xr9:uid="{00000000-0011-0000-FFFF-FFFF1B010000}">
      <tableStyleElement type="firstRowStripe" dxfId="107"/>
      <tableStyleElement type="secondRowStripe" dxfId="106"/>
    </tableStyle>
    <tableStyle name="DATA_DRAFT (MODEL)-style 95" pivot="0" count="2" xr9:uid="{00000000-0011-0000-FFFF-FFFF1C010000}">
      <tableStyleElement type="firstRowStripe" dxfId="105"/>
      <tableStyleElement type="secondRowStripe" dxfId="104"/>
    </tableStyle>
    <tableStyle name="DATA_DRAFT (MODEL)-style 96" pivot="0" count="2" xr9:uid="{00000000-0011-0000-FFFF-FFFF1D010000}">
      <tableStyleElement type="firstRowStripe" dxfId="103"/>
      <tableStyleElement type="secondRowStripe" dxfId="102"/>
    </tableStyle>
    <tableStyle name="DATA_DRAFT (MODEL)-style 97" pivot="0" count="2" xr9:uid="{00000000-0011-0000-FFFF-FFFF1E010000}">
      <tableStyleElement type="firstRowStripe" dxfId="101"/>
      <tableStyleElement type="secondRowStripe" dxfId="100"/>
    </tableStyle>
    <tableStyle name="DATA_DRAFT (MODEL)-style 98" pivot="0" count="2" xr9:uid="{00000000-0011-0000-FFFF-FFFF1F010000}">
      <tableStyleElement type="firstRowStripe" dxfId="99"/>
      <tableStyleElement type="secondRowStripe" dxfId="98"/>
    </tableStyle>
    <tableStyle name="DATA_DRAFT (MODEL)-style 99" pivot="0" count="2" xr9:uid="{00000000-0011-0000-FFFF-FFFF20010000}">
      <tableStyleElement type="firstRowStripe" dxfId="97"/>
      <tableStyleElement type="secondRowStripe" dxfId="96"/>
    </tableStyle>
    <tableStyle name="DATA_DRAFT (MODEL)-style 100" pivot="0" count="2" xr9:uid="{00000000-0011-0000-FFFF-FFFF21010000}">
      <tableStyleElement type="firstRowStripe" dxfId="95"/>
      <tableStyleElement type="secondRowStripe" dxfId="94"/>
    </tableStyle>
    <tableStyle name="DATA_DRAFT (MODEL)-style 101" pivot="0" count="2" xr9:uid="{00000000-0011-0000-FFFF-FFFF22010000}">
      <tableStyleElement type="firstRowStripe" dxfId="93"/>
      <tableStyleElement type="secondRowStripe" dxfId="92"/>
    </tableStyle>
    <tableStyle name="DATA_DRAFT (MODEL)-style 102" pivot="0" count="2" xr9:uid="{00000000-0011-0000-FFFF-FFFF23010000}">
      <tableStyleElement type="firstRowStripe" dxfId="91"/>
      <tableStyleElement type="secondRowStripe" dxfId="90"/>
    </tableStyle>
    <tableStyle name="DATA_DRAFT (MODEL)-style 103" pivot="0" count="2" xr9:uid="{00000000-0011-0000-FFFF-FFFF24010000}">
      <tableStyleElement type="firstRowStripe" dxfId="89"/>
      <tableStyleElement type="secondRowStripe" dxfId="88"/>
    </tableStyle>
    <tableStyle name="DATA_DRAFT (MODEL)-style 104" pivot="0" count="2" xr9:uid="{00000000-0011-0000-FFFF-FFFF25010000}">
      <tableStyleElement type="firstRowStripe" dxfId="87"/>
      <tableStyleElement type="secondRowStripe" dxfId="86"/>
    </tableStyle>
    <tableStyle name="DATA_DRAFT (MODEL)-style 105" pivot="0" count="2" xr9:uid="{00000000-0011-0000-FFFF-FFFF26010000}">
      <tableStyleElement type="firstRowStripe" dxfId="85"/>
      <tableStyleElement type="secondRowStripe" dxfId="84"/>
    </tableStyle>
    <tableStyle name="DATA_DRAFT (MODEL)-style 106" pivot="0" count="2" xr9:uid="{00000000-0011-0000-FFFF-FFFF27010000}">
      <tableStyleElement type="firstRowStripe" dxfId="83"/>
      <tableStyleElement type="secondRowStripe" dxfId="82"/>
    </tableStyle>
    <tableStyle name="DATA_DRAFT (MODEL)-style 107" pivot="0" count="2" xr9:uid="{00000000-0011-0000-FFFF-FFFF28010000}">
      <tableStyleElement type="firstRowStripe" dxfId="81"/>
      <tableStyleElement type="secondRowStripe" dxfId="80"/>
    </tableStyle>
    <tableStyle name="DATA_DRAFT (MODEL)-style 108" pivot="0" count="2" xr9:uid="{00000000-0011-0000-FFFF-FFFF29010000}">
      <tableStyleElement type="firstRowStripe" dxfId="79"/>
      <tableStyleElement type="secondRowStripe" dxfId="78"/>
    </tableStyle>
    <tableStyle name="DATA_DRAFT (MODEL)-style 109" pivot="0" count="2" xr9:uid="{00000000-0011-0000-FFFF-FFFF2A010000}">
      <tableStyleElement type="firstRowStripe" dxfId="77"/>
      <tableStyleElement type="secondRowStripe" dxfId="76"/>
    </tableStyle>
    <tableStyle name="DATA_DRAFT (MODEL)-style 110" pivot="0" count="2" xr9:uid="{00000000-0011-0000-FFFF-FFFF2B010000}">
      <tableStyleElement type="firstRowStripe" dxfId="75"/>
      <tableStyleElement type="secondRowStripe" dxfId="74"/>
    </tableStyle>
    <tableStyle name="DATA_DRAFT (MODEL)-style 111" pivot="0" count="2" xr9:uid="{00000000-0011-0000-FFFF-FFFF2C010000}">
      <tableStyleElement type="firstRowStripe" dxfId="73"/>
      <tableStyleElement type="secondRowStripe" dxfId="72"/>
    </tableStyle>
    <tableStyle name="DATA_DRAFT (MODEL)-style 112" pivot="0" count="2" xr9:uid="{00000000-0011-0000-FFFF-FFFF2D010000}">
      <tableStyleElement type="firstRowStripe" dxfId="71"/>
      <tableStyleElement type="secondRowStripe" dxfId="70"/>
    </tableStyle>
    <tableStyle name="DATA_DRAFT (MODEL)-style 113" pivot="0" count="2" xr9:uid="{00000000-0011-0000-FFFF-FFFF2E010000}">
      <tableStyleElement type="firstRowStripe" dxfId="69"/>
      <tableStyleElement type="secondRowStripe" dxfId="68"/>
    </tableStyle>
    <tableStyle name="DATA_DRAFT (MODEL)-style 114" pivot="0" count="2" xr9:uid="{00000000-0011-0000-FFFF-FFFF2F010000}">
      <tableStyleElement type="firstRowStripe" dxfId="67"/>
      <tableStyleElement type="secondRowStripe" dxfId="66"/>
    </tableStyle>
    <tableStyle name="DATA_DRAFT (MODEL)-style 115" pivot="0" count="2" xr9:uid="{00000000-0011-0000-FFFF-FFFF30010000}">
      <tableStyleElement type="firstRowStripe" dxfId="65"/>
      <tableStyleElement type="secondRowStripe" dxfId="64"/>
    </tableStyle>
    <tableStyle name="DATA_DRAFT (MODEL)-style 116" pivot="0" count="2" xr9:uid="{00000000-0011-0000-FFFF-FFFF31010000}">
      <tableStyleElement type="firstRowStripe" dxfId="63"/>
      <tableStyleElement type="secondRowStripe" dxfId="62"/>
    </tableStyle>
    <tableStyle name="DATA_DRAFT (MODEL)-style 117" pivot="0" count="2" xr9:uid="{00000000-0011-0000-FFFF-FFFF32010000}">
      <tableStyleElement type="firstRowStripe" dxfId="61"/>
      <tableStyleElement type="secondRowStripe" dxfId="60"/>
    </tableStyle>
    <tableStyle name="DATA_DRAFT (MODEL)-style 118" pivot="0" count="2" xr9:uid="{00000000-0011-0000-FFFF-FFFF33010000}">
      <tableStyleElement type="firstRowStripe" dxfId="59"/>
      <tableStyleElement type="secondRowStripe" dxfId="58"/>
    </tableStyle>
    <tableStyle name="DATA_DRAFT (MODEL)-style 119" pivot="0" count="2" xr9:uid="{00000000-0011-0000-FFFF-FFFF34010000}">
      <tableStyleElement type="firstRowStripe" dxfId="57"/>
      <tableStyleElement type="secondRowStripe" dxfId="56"/>
    </tableStyle>
    <tableStyle name="DATA_DRAFT (MODEL)-style 120" pivot="0" count="2" xr9:uid="{00000000-0011-0000-FFFF-FFFF35010000}">
      <tableStyleElement type="firstRowStripe" dxfId="55"/>
      <tableStyleElement type="secondRowStripe" dxfId="54"/>
    </tableStyle>
    <tableStyle name="DATA_DRAFT (MODEL)-style 121" pivot="0" count="2" xr9:uid="{00000000-0011-0000-FFFF-FFFF36010000}">
      <tableStyleElement type="firstRowStripe" dxfId="53"/>
      <tableStyleElement type="secondRowStripe" dxfId="52"/>
    </tableStyle>
    <tableStyle name="DATA_DRAFT (MODEL)-style 122" pivot="0" count="2" xr9:uid="{00000000-0011-0000-FFFF-FFFF37010000}">
      <tableStyleElement type="firstRowStripe" dxfId="51"/>
      <tableStyleElement type="secondRowStripe" dxfId="50"/>
    </tableStyle>
    <tableStyle name="DATA_DRAFT (MODEL)-style 123" pivot="0" count="2" xr9:uid="{00000000-0011-0000-FFFF-FFFF38010000}">
      <tableStyleElement type="firstRowStripe" dxfId="49"/>
      <tableStyleElement type="secondRowStripe" dxfId="48"/>
    </tableStyle>
    <tableStyle name="DATA_DRAFT (MODEL)-style 124" pivot="0" count="2" xr9:uid="{00000000-0011-0000-FFFF-FFFF39010000}">
      <tableStyleElement type="firstRowStripe" dxfId="47"/>
      <tableStyleElement type="secondRowStripe" dxfId="46"/>
    </tableStyle>
    <tableStyle name="DATA_DRAFT (MODEL)-style 125" pivot="0" count="2" xr9:uid="{00000000-0011-0000-FFFF-FFFF3A010000}">
      <tableStyleElement type="firstRowStripe" dxfId="45"/>
      <tableStyleElement type="secondRowStripe" dxfId="44"/>
    </tableStyle>
    <tableStyle name="DATA_DRAFT (MODEL)-style 126" pivot="0" count="2" xr9:uid="{00000000-0011-0000-FFFF-FFFF3B010000}">
      <tableStyleElement type="firstRowStripe" dxfId="43"/>
      <tableStyleElement type="secondRowStripe" dxfId="42"/>
    </tableStyle>
    <tableStyle name="DATA_DRAFT (MODEL)-style 127" pivot="0" count="2" xr9:uid="{00000000-0011-0000-FFFF-FFFF3C010000}">
      <tableStyleElement type="firstRowStripe" dxfId="41"/>
      <tableStyleElement type="secondRowStripe" dxfId="40"/>
    </tableStyle>
    <tableStyle name="DATA_DRAFT (MODEL)-style 128" pivot="0" count="2" xr9:uid="{00000000-0011-0000-FFFF-FFFF3D010000}">
      <tableStyleElement type="firstRowStripe" dxfId="39"/>
      <tableStyleElement type="secondRowStripe" dxfId="38"/>
    </tableStyle>
    <tableStyle name="DATA_DRAFT (MODEL)-style 129" pivot="0" count="2" xr9:uid="{00000000-0011-0000-FFFF-FFFF3E010000}">
      <tableStyleElement type="firstRowStripe" dxfId="37"/>
      <tableStyleElement type="secondRowStripe" dxfId="36"/>
    </tableStyle>
    <tableStyle name="DATA_DRAFT (MODEL)-style 130" pivot="0" count="2" xr9:uid="{00000000-0011-0000-FFFF-FFFF3F010000}">
      <tableStyleElement type="firstRowStripe" dxfId="35"/>
      <tableStyleElement type="secondRowStripe" dxfId="34"/>
    </tableStyle>
    <tableStyle name="DATA_DRAFT (MODEL)-style 131" pivot="0" count="2" xr9:uid="{00000000-0011-0000-FFFF-FFFF40010000}">
      <tableStyleElement type="firstRowStripe" dxfId="33"/>
      <tableStyleElement type="secondRowStripe" dxfId="32"/>
    </tableStyle>
    <tableStyle name="DATA_DRAFT (MODEL)-style 132" pivot="0" count="2" xr9:uid="{00000000-0011-0000-FFFF-FFFF41010000}">
      <tableStyleElement type="firstRowStripe" dxfId="31"/>
      <tableStyleElement type="secondRowStripe" dxfId="30"/>
    </tableStyle>
    <tableStyle name="DATA_DRAFT (MODEL)-style 133" pivot="0" count="2" xr9:uid="{00000000-0011-0000-FFFF-FFFF42010000}">
      <tableStyleElement type="firstRowStripe" dxfId="29"/>
      <tableStyleElement type="secondRowStripe" dxfId="28"/>
    </tableStyle>
    <tableStyle name="DATA_DRAFT (MODEL)-style 134" pivot="0" count="2" xr9:uid="{00000000-0011-0000-FFFF-FFFF43010000}">
      <tableStyleElement type="firstRowStripe" dxfId="27"/>
      <tableStyleElement type="secondRowStripe" dxfId="26"/>
    </tableStyle>
    <tableStyle name="DATA_DRAFT (MODEL)-style 135" pivot="0" count="2" xr9:uid="{00000000-0011-0000-FFFF-FFFF44010000}">
      <tableStyleElement type="firstRowStripe" dxfId="25"/>
      <tableStyleElement type="secondRowStripe" dxfId="24"/>
    </tableStyle>
    <tableStyle name="DATA_DRAFT (MODEL)-style 136" pivot="0" count="2" xr9:uid="{00000000-0011-0000-FFFF-FFFF45010000}">
      <tableStyleElement type="firstRowStripe" dxfId="23"/>
      <tableStyleElement type="secondRowStripe" dxfId="22"/>
    </tableStyle>
    <tableStyle name="DATA_DRAFT (MODEL)-style 137" pivot="0" count="2" xr9:uid="{00000000-0011-0000-FFFF-FFFF46010000}">
      <tableStyleElement type="firstRowStripe" dxfId="21"/>
      <tableStyleElement type="secondRowStripe" dxfId="20"/>
    </tableStyle>
    <tableStyle name="DATA_DRAFT (MODEL)-style 138" pivot="0" count="2" xr9:uid="{00000000-0011-0000-FFFF-FFFF47010000}">
      <tableStyleElement type="firstRowStripe" dxfId="19"/>
      <tableStyleElement type="secondRowStripe" dxfId="18"/>
    </tableStyle>
    <tableStyle name="DATA_DRAFT (MODEL)-style 139" pivot="0" count="2" xr9:uid="{00000000-0011-0000-FFFF-FFFF48010000}">
      <tableStyleElement type="firstRowStripe" dxfId="17"/>
      <tableStyleElement type="secondRowStripe" dxfId="16"/>
    </tableStyle>
    <tableStyle name="DATA_DRAFT (MODEL)-style 140" pivot="0" count="2" xr9:uid="{00000000-0011-0000-FFFF-FFFF49010000}">
      <tableStyleElement type="firstRowStripe" dxfId="15"/>
      <tableStyleElement type="secondRowStripe" dxfId="14"/>
    </tableStyle>
    <tableStyle name="DATA_DRAFT (MODEL)-style 141" pivot="0" count="2" xr9:uid="{00000000-0011-0000-FFFF-FFFF4A010000}">
      <tableStyleElement type="firstRowStripe" dxfId="13"/>
      <tableStyleElement type="secondRowStripe" dxfId="12"/>
    </tableStyle>
    <tableStyle name="DATA_DRAFT (MODEL)-style 142" pivot="0" count="2" xr9:uid="{00000000-0011-0000-FFFF-FFFF4B010000}">
      <tableStyleElement type="firstRowStripe" dxfId="11"/>
      <tableStyleElement type="secondRowStripe" dxfId="10"/>
    </tableStyle>
    <tableStyle name="DATA_DRAFT (MODEL)-style 143" pivot="0" count="2" xr9:uid="{00000000-0011-0000-FFFF-FFFF4C010000}">
      <tableStyleElement type="firstRowStripe" dxfId="9"/>
      <tableStyleElement type="secondRowStripe" dxfId="8"/>
    </tableStyle>
    <tableStyle name="DATA_DRAFT (MODEL)-style 144" pivot="0" count="2" xr9:uid="{00000000-0011-0000-FFFF-FFFF4D010000}">
      <tableStyleElement type="firstRowStripe" dxfId="7"/>
      <tableStyleElement type="secondRowStripe" dxfId="6"/>
    </tableStyle>
    <tableStyle name="DATA_DRAFT (MODEL)-style 145" pivot="0" count="2" xr9:uid="{00000000-0011-0000-FFFF-FFFF4E010000}">
      <tableStyleElement type="firstRowStripe" dxfId="5"/>
      <tableStyleElement type="secondRowStripe" dxfId="4"/>
    </tableStyle>
    <tableStyle name="DATA_DRAFT (MODEL)-style 146" pivot="0" count="2" xr9:uid="{00000000-0011-0000-FFFF-FFFF4F010000}">
      <tableStyleElement type="firstRowStripe" dxfId="3"/>
      <tableStyleElement type="secondRowStripe" dxfId="2"/>
    </tableStyle>
    <tableStyle name="DATA_DRAFT (MODEL)-style 147" pivot="0" count="2" xr9:uid="{00000000-0011-0000-FFFF-FFFF50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1_3" displayName="Table1_3" ref="I1:CT1" headerRowCount="0">
  <tableColumns count="90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  <tableColumn id="5" xr3:uid="{00000000-0010-0000-4A00-000005000000}" name="Column5"/>
    <tableColumn id="6" xr3:uid="{00000000-0010-0000-4A00-000006000000}" name="Column6"/>
    <tableColumn id="7" xr3:uid="{00000000-0010-0000-4A00-000007000000}" name="Column7"/>
    <tableColumn id="8" xr3:uid="{00000000-0010-0000-4A00-000008000000}" name="Column8"/>
    <tableColumn id="9" xr3:uid="{00000000-0010-0000-4A00-000009000000}" name="Column9"/>
    <tableColumn id="10" xr3:uid="{00000000-0010-0000-4A00-00000A000000}" name="Column10"/>
    <tableColumn id="11" xr3:uid="{00000000-0010-0000-4A00-00000B000000}" name="Column11"/>
    <tableColumn id="12" xr3:uid="{00000000-0010-0000-4A00-00000C000000}" name="Column12"/>
    <tableColumn id="13" xr3:uid="{00000000-0010-0000-4A00-00000D000000}" name="Column13"/>
    <tableColumn id="14" xr3:uid="{00000000-0010-0000-4A00-00000E000000}" name="Column14"/>
    <tableColumn id="15" xr3:uid="{00000000-0010-0000-4A00-00000F000000}" name="Column15"/>
    <tableColumn id="16" xr3:uid="{00000000-0010-0000-4A00-000010000000}" name="Column16"/>
    <tableColumn id="17" xr3:uid="{00000000-0010-0000-4A00-000011000000}" name="Column17"/>
    <tableColumn id="18" xr3:uid="{00000000-0010-0000-4A00-000012000000}" name="Column18"/>
    <tableColumn id="19" xr3:uid="{00000000-0010-0000-4A00-000013000000}" name="Column19"/>
    <tableColumn id="20" xr3:uid="{00000000-0010-0000-4A00-000014000000}" name="Column20"/>
    <tableColumn id="21" xr3:uid="{00000000-0010-0000-4A00-000015000000}" name="Column21"/>
    <tableColumn id="22" xr3:uid="{00000000-0010-0000-4A00-000016000000}" name="Column22"/>
    <tableColumn id="23" xr3:uid="{00000000-0010-0000-4A00-000017000000}" name="Column23"/>
    <tableColumn id="24" xr3:uid="{00000000-0010-0000-4A00-000018000000}" name="Column24"/>
    <tableColumn id="25" xr3:uid="{00000000-0010-0000-4A00-000019000000}" name="Column25"/>
    <tableColumn id="26" xr3:uid="{00000000-0010-0000-4A00-00001A000000}" name="Column26"/>
    <tableColumn id="27" xr3:uid="{00000000-0010-0000-4A00-00001B000000}" name="Column27"/>
    <tableColumn id="28" xr3:uid="{00000000-0010-0000-4A00-00001C000000}" name="Column28"/>
    <tableColumn id="29" xr3:uid="{00000000-0010-0000-4A00-00001D000000}" name="Column29"/>
    <tableColumn id="30" xr3:uid="{00000000-0010-0000-4A00-00001E000000}" name="Column30"/>
    <tableColumn id="31" xr3:uid="{00000000-0010-0000-4A00-00001F000000}" name="Column31"/>
    <tableColumn id="32" xr3:uid="{00000000-0010-0000-4A00-000020000000}" name="Column32"/>
    <tableColumn id="33" xr3:uid="{00000000-0010-0000-4A00-000021000000}" name="Column33"/>
    <tableColumn id="34" xr3:uid="{00000000-0010-0000-4A00-000022000000}" name="Column34"/>
    <tableColumn id="35" xr3:uid="{00000000-0010-0000-4A00-000023000000}" name="Column35"/>
    <tableColumn id="36" xr3:uid="{00000000-0010-0000-4A00-000024000000}" name="Column36"/>
    <tableColumn id="37" xr3:uid="{00000000-0010-0000-4A00-000025000000}" name="Column37"/>
    <tableColumn id="38" xr3:uid="{00000000-0010-0000-4A00-000026000000}" name="Column38"/>
    <tableColumn id="39" xr3:uid="{00000000-0010-0000-4A00-000027000000}" name="Column39"/>
    <tableColumn id="40" xr3:uid="{00000000-0010-0000-4A00-000028000000}" name="Column40"/>
    <tableColumn id="41" xr3:uid="{00000000-0010-0000-4A00-000029000000}" name="Column41"/>
    <tableColumn id="42" xr3:uid="{00000000-0010-0000-4A00-00002A000000}" name="Column42"/>
    <tableColumn id="43" xr3:uid="{00000000-0010-0000-4A00-00002B000000}" name="Column43"/>
    <tableColumn id="44" xr3:uid="{00000000-0010-0000-4A00-00002C000000}" name="Column44"/>
    <tableColumn id="45" xr3:uid="{00000000-0010-0000-4A00-00002D000000}" name="Column45"/>
    <tableColumn id="46" xr3:uid="{00000000-0010-0000-4A00-00002E000000}" name="Column46"/>
    <tableColumn id="47" xr3:uid="{00000000-0010-0000-4A00-00002F000000}" name="Column47"/>
    <tableColumn id="48" xr3:uid="{00000000-0010-0000-4A00-000030000000}" name="Column48"/>
    <tableColumn id="49" xr3:uid="{00000000-0010-0000-4A00-000031000000}" name="Column49"/>
    <tableColumn id="50" xr3:uid="{00000000-0010-0000-4A00-000032000000}" name="Column50"/>
    <tableColumn id="51" xr3:uid="{00000000-0010-0000-4A00-000033000000}" name="Column51"/>
    <tableColumn id="52" xr3:uid="{00000000-0010-0000-4A00-000034000000}" name="Column52"/>
    <tableColumn id="53" xr3:uid="{00000000-0010-0000-4A00-000035000000}" name="Column53"/>
    <tableColumn id="54" xr3:uid="{00000000-0010-0000-4A00-000036000000}" name="Column54"/>
    <tableColumn id="55" xr3:uid="{00000000-0010-0000-4A00-000037000000}" name="Column55"/>
    <tableColumn id="56" xr3:uid="{00000000-0010-0000-4A00-000038000000}" name="Column56"/>
    <tableColumn id="57" xr3:uid="{00000000-0010-0000-4A00-000039000000}" name="Column57"/>
    <tableColumn id="58" xr3:uid="{00000000-0010-0000-4A00-00003A000000}" name="Column58"/>
    <tableColumn id="59" xr3:uid="{00000000-0010-0000-4A00-00003B000000}" name="Column59"/>
    <tableColumn id="60" xr3:uid="{00000000-0010-0000-4A00-00003C000000}" name="Column60"/>
    <tableColumn id="61" xr3:uid="{00000000-0010-0000-4A00-00003D000000}" name="Column61"/>
    <tableColumn id="62" xr3:uid="{00000000-0010-0000-4A00-00003E000000}" name="Column62"/>
    <tableColumn id="63" xr3:uid="{00000000-0010-0000-4A00-00003F000000}" name="Column63"/>
    <tableColumn id="64" xr3:uid="{00000000-0010-0000-4A00-000040000000}" name="Column64"/>
    <tableColumn id="65" xr3:uid="{00000000-0010-0000-4A00-000041000000}" name="Column65"/>
    <tableColumn id="66" xr3:uid="{00000000-0010-0000-4A00-000042000000}" name="Column66"/>
    <tableColumn id="67" xr3:uid="{00000000-0010-0000-4A00-000043000000}" name="Column67"/>
    <tableColumn id="68" xr3:uid="{00000000-0010-0000-4A00-000044000000}" name="Column68"/>
    <tableColumn id="69" xr3:uid="{00000000-0010-0000-4A00-000045000000}" name="Column69"/>
    <tableColumn id="70" xr3:uid="{00000000-0010-0000-4A00-000046000000}" name="Column70"/>
    <tableColumn id="71" xr3:uid="{00000000-0010-0000-4A00-000047000000}" name="Column71"/>
    <tableColumn id="72" xr3:uid="{00000000-0010-0000-4A00-000048000000}" name="Column72"/>
    <tableColumn id="73" xr3:uid="{00000000-0010-0000-4A00-000049000000}" name="Column73"/>
    <tableColumn id="74" xr3:uid="{00000000-0010-0000-4A00-00004A000000}" name="Column74"/>
    <tableColumn id="75" xr3:uid="{00000000-0010-0000-4A00-00004B000000}" name="Column75"/>
    <tableColumn id="76" xr3:uid="{00000000-0010-0000-4A00-00004C000000}" name="Column76"/>
    <tableColumn id="77" xr3:uid="{00000000-0010-0000-4A00-00004D000000}" name="Column77"/>
    <tableColumn id="78" xr3:uid="{00000000-0010-0000-4A00-00004E000000}" name="Column78"/>
    <tableColumn id="79" xr3:uid="{00000000-0010-0000-4A00-00004F000000}" name="Column79"/>
    <tableColumn id="80" xr3:uid="{00000000-0010-0000-4A00-000050000000}" name="Column80"/>
    <tableColumn id="81" xr3:uid="{00000000-0010-0000-4A00-000051000000}" name="Column81"/>
    <tableColumn id="82" xr3:uid="{00000000-0010-0000-4A00-000052000000}" name="Column82"/>
    <tableColumn id="83" xr3:uid="{00000000-0010-0000-4A00-000053000000}" name="Column83"/>
    <tableColumn id="84" xr3:uid="{00000000-0010-0000-4A00-000054000000}" name="Column84"/>
    <tableColumn id="85" xr3:uid="{00000000-0010-0000-4A00-000055000000}" name="Column85"/>
    <tableColumn id="86" xr3:uid="{00000000-0010-0000-4A00-000056000000}" name="Column86"/>
    <tableColumn id="87" xr3:uid="{00000000-0010-0000-4A00-000057000000}" name="Column87"/>
    <tableColumn id="88" xr3:uid="{00000000-0010-0000-4A00-000058000000}" name="Column88"/>
    <tableColumn id="89" xr3:uid="{00000000-0010-0000-4A00-000059000000}" name="Column89"/>
    <tableColumn id="90" xr3:uid="{00000000-0010-0000-4A00-00005A000000}" name="Column90"/>
  </tableColumns>
  <tableStyleInfo name="Copy of DATA_EVALUATION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2" displayName="Table_72" ref="A2:E22" headerRowCount="0">
  <tableColumns count="5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</tableColumns>
  <tableStyleInfo name="Copy of DATA_EVALUATI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3" displayName="Table_73" ref="I4:CT4" headerRowCount="0">
  <tableColumns count="90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  <tableColumn id="6" xr3:uid="{00000000-0010-0000-4C00-000006000000}" name="Column6"/>
    <tableColumn id="7" xr3:uid="{00000000-0010-0000-4C00-000007000000}" name="Column7"/>
    <tableColumn id="8" xr3:uid="{00000000-0010-0000-4C00-000008000000}" name="Column8"/>
    <tableColumn id="9" xr3:uid="{00000000-0010-0000-4C00-000009000000}" name="Column9"/>
    <tableColumn id="10" xr3:uid="{00000000-0010-0000-4C00-00000A000000}" name="Column10"/>
    <tableColumn id="11" xr3:uid="{00000000-0010-0000-4C00-00000B000000}" name="Column11"/>
    <tableColumn id="12" xr3:uid="{00000000-0010-0000-4C00-00000C000000}" name="Column12"/>
    <tableColumn id="13" xr3:uid="{00000000-0010-0000-4C00-00000D000000}" name="Column13"/>
    <tableColumn id="14" xr3:uid="{00000000-0010-0000-4C00-00000E000000}" name="Column14"/>
    <tableColumn id="15" xr3:uid="{00000000-0010-0000-4C00-00000F000000}" name="Column15"/>
    <tableColumn id="16" xr3:uid="{00000000-0010-0000-4C00-000010000000}" name="Column16"/>
    <tableColumn id="17" xr3:uid="{00000000-0010-0000-4C00-000011000000}" name="Column17"/>
    <tableColumn id="18" xr3:uid="{00000000-0010-0000-4C00-000012000000}" name="Column18"/>
    <tableColumn id="19" xr3:uid="{00000000-0010-0000-4C00-000013000000}" name="Column19"/>
    <tableColumn id="20" xr3:uid="{00000000-0010-0000-4C00-000014000000}" name="Column20"/>
    <tableColumn id="21" xr3:uid="{00000000-0010-0000-4C00-000015000000}" name="Column21"/>
    <tableColumn id="22" xr3:uid="{00000000-0010-0000-4C00-000016000000}" name="Column22"/>
    <tableColumn id="23" xr3:uid="{00000000-0010-0000-4C00-000017000000}" name="Column23"/>
    <tableColumn id="24" xr3:uid="{00000000-0010-0000-4C00-000018000000}" name="Column24"/>
    <tableColumn id="25" xr3:uid="{00000000-0010-0000-4C00-000019000000}" name="Column25"/>
    <tableColumn id="26" xr3:uid="{00000000-0010-0000-4C00-00001A000000}" name="Column26"/>
    <tableColumn id="27" xr3:uid="{00000000-0010-0000-4C00-00001B000000}" name="Column27"/>
    <tableColumn id="28" xr3:uid="{00000000-0010-0000-4C00-00001C000000}" name="Column28"/>
    <tableColumn id="29" xr3:uid="{00000000-0010-0000-4C00-00001D000000}" name="Column29"/>
    <tableColumn id="30" xr3:uid="{00000000-0010-0000-4C00-00001E000000}" name="Column30"/>
    <tableColumn id="31" xr3:uid="{00000000-0010-0000-4C00-00001F000000}" name="Column31"/>
    <tableColumn id="32" xr3:uid="{00000000-0010-0000-4C00-000020000000}" name="Column32"/>
    <tableColumn id="33" xr3:uid="{00000000-0010-0000-4C00-000021000000}" name="Column33"/>
    <tableColumn id="34" xr3:uid="{00000000-0010-0000-4C00-000022000000}" name="Column34"/>
    <tableColumn id="35" xr3:uid="{00000000-0010-0000-4C00-000023000000}" name="Column35"/>
    <tableColumn id="36" xr3:uid="{00000000-0010-0000-4C00-000024000000}" name="Column36"/>
    <tableColumn id="37" xr3:uid="{00000000-0010-0000-4C00-000025000000}" name="Column37"/>
    <tableColumn id="38" xr3:uid="{00000000-0010-0000-4C00-000026000000}" name="Column38"/>
    <tableColumn id="39" xr3:uid="{00000000-0010-0000-4C00-000027000000}" name="Column39"/>
    <tableColumn id="40" xr3:uid="{00000000-0010-0000-4C00-000028000000}" name="Column40"/>
    <tableColumn id="41" xr3:uid="{00000000-0010-0000-4C00-000029000000}" name="Column41"/>
    <tableColumn id="42" xr3:uid="{00000000-0010-0000-4C00-00002A000000}" name="Column42"/>
    <tableColumn id="43" xr3:uid="{00000000-0010-0000-4C00-00002B000000}" name="Column43"/>
    <tableColumn id="44" xr3:uid="{00000000-0010-0000-4C00-00002C000000}" name="Column44"/>
    <tableColumn id="45" xr3:uid="{00000000-0010-0000-4C00-00002D000000}" name="Column45"/>
    <tableColumn id="46" xr3:uid="{00000000-0010-0000-4C00-00002E000000}" name="Column46"/>
    <tableColumn id="47" xr3:uid="{00000000-0010-0000-4C00-00002F000000}" name="Column47"/>
    <tableColumn id="48" xr3:uid="{00000000-0010-0000-4C00-000030000000}" name="Column48"/>
    <tableColumn id="49" xr3:uid="{00000000-0010-0000-4C00-000031000000}" name="Column49"/>
    <tableColumn id="50" xr3:uid="{00000000-0010-0000-4C00-000032000000}" name="Column50"/>
    <tableColumn id="51" xr3:uid="{00000000-0010-0000-4C00-000033000000}" name="Column51"/>
    <tableColumn id="52" xr3:uid="{00000000-0010-0000-4C00-000034000000}" name="Column52"/>
    <tableColumn id="53" xr3:uid="{00000000-0010-0000-4C00-000035000000}" name="Column53"/>
    <tableColumn id="54" xr3:uid="{00000000-0010-0000-4C00-000036000000}" name="Column54"/>
    <tableColumn id="55" xr3:uid="{00000000-0010-0000-4C00-000037000000}" name="Column55"/>
    <tableColumn id="56" xr3:uid="{00000000-0010-0000-4C00-000038000000}" name="Column56"/>
    <tableColumn id="57" xr3:uid="{00000000-0010-0000-4C00-000039000000}" name="Column57"/>
    <tableColumn id="58" xr3:uid="{00000000-0010-0000-4C00-00003A000000}" name="Column58"/>
    <tableColumn id="59" xr3:uid="{00000000-0010-0000-4C00-00003B000000}" name="Column59"/>
    <tableColumn id="60" xr3:uid="{00000000-0010-0000-4C00-00003C000000}" name="Column60"/>
    <tableColumn id="61" xr3:uid="{00000000-0010-0000-4C00-00003D000000}" name="Column61"/>
    <tableColumn id="62" xr3:uid="{00000000-0010-0000-4C00-00003E000000}" name="Column62"/>
    <tableColumn id="63" xr3:uid="{00000000-0010-0000-4C00-00003F000000}" name="Column63"/>
    <tableColumn id="64" xr3:uid="{00000000-0010-0000-4C00-000040000000}" name="Column64"/>
    <tableColumn id="65" xr3:uid="{00000000-0010-0000-4C00-000041000000}" name="Column65"/>
    <tableColumn id="66" xr3:uid="{00000000-0010-0000-4C00-000042000000}" name="Column66"/>
    <tableColumn id="67" xr3:uid="{00000000-0010-0000-4C00-000043000000}" name="Column67"/>
    <tableColumn id="68" xr3:uid="{00000000-0010-0000-4C00-000044000000}" name="Column68"/>
    <tableColumn id="69" xr3:uid="{00000000-0010-0000-4C00-000045000000}" name="Column69"/>
    <tableColumn id="70" xr3:uid="{00000000-0010-0000-4C00-000046000000}" name="Column70"/>
    <tableColumn id="71" xr3:uid="{00000000-0010-0000-4C00-000047000000}" name="Column71"/>
    <tableColumn id="72" xr3:uid="{00000000-0010-0000-4C00-000048000000}" name="Column72"/>
    <tableColumn id="73" xr3:uid="{00000000-0010-0000-4C00-000049000000}" name="Column73"/>
    <tableColumn id="74" xr3:uid="{00000000-0010-0000-4C00-00004A000000}" name="Column74"/>
    <tableColumn id="75" xr3:uid="{00000000-0010-0000-4C00-00004B000000}" name="Column75"/>
    <tableColumn id="76" xr3:uid="{00000000-0010-0000-4C00-00004C000000}" name="Column76"/>
    <tableColumn id="77" xr3:uid="{00000000-0010-0000-4C00-00004D000000}" name="Column77"/>
    <tableColumn id="78" xr3:uid="{00000000-0010-0000-4C00-00004E000000}" name="Column78"/>
    <tableColumn id="79" xr3:uid="{00000000-0010-0000-4C00-00004F000000}" name="Column79"/>
    <tableColumn id="80" xr3:uid="{00000000-0010-0000-4C00-000050000000}" name="Column80"/>
    <tableColumn id="81" xr3:uid="{00000000-0010-0000-4C00-000051000000}" name="Column81"/>
    <tableColumn id="82" xr3:uid="{00000000-0010-0000-4C00-000052000000}" name="Column82"/>
    <tableColumn id="83" xr3:uid="{00000000-0010-0000-4C00-000053000000}" name="Column83"/>
    <tableColumn id="84" xr3:uid="{00000000-0010-0000-4C00-000054000000}" name="Column84"/>
    <tableColumn id="85" xr3:uid="{00000000-0010-0000-4C00-000055000000}" name="Column85"/>
    <tableColumn id="86" xr3:uid="{00000000-0010-0000-4C00-000056000000}" name="Column86"/>
    <tableColumn id="87" xr3:uid="{00000000-0010-0000-4C00-000057000000}" name="Column87"/>
    <tableColumn id="88" xr3:uid="{00000000-0010-0000-4C00-000058000000}" name="Column88"/>
    <tableColumn id="89" xr3:uid="{00000000-0010-0000-4C00-000059000000}" name="Column89"/>
    <tableColumn id="90" xr3:uid="{00000000-0010-0000-4C00-00005A000000}" name="Column90"/>
  </tableColumns>
  <tableStyleInfo name="Copy of DATA_EVALUATI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4" displayName="Table_74" ref="I5:CT5" headerRowCount="0">
  <tableColumns count="90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  <tableColumn id="5" xr3:uid="{00000000-0010-0000-4D00-000005000000}" name="Column5"/>
    <tableColumn id="6" xr3:uid="{00000000-0010-0000-4D00-000006000000}" name="Column6"/>
    <tableColumn id="7" xr3:uid="{00000000-0010-0000-4D00-000007000000}" name="Column7"/>
    <tableColumn id="8" xr3:uid="{00000000-0010-0000-4D00-000008000000}" name="Column8"/>
    <tableColumn id="9" xr3:uid="{00000000-0010-0000-4D00-000009000000}" name="Column9"/>
    <tableColumn id="10" xr3:uid="{00000000-0010-0000-4D00-00000A000000}" name="Column10"/>
    <tableColumn id="11" xr3:uid="{00000000-0010-0000-4D00-00000B000000}" name="Column11"/>
    <tableColumn id="12" xr3:uid="{00000000-0010-0000-4D00-00000C000000}" name="Column12"/>
    <tableColumn id="13" xr3:uid="{00000000-0010-0000-4D00-00000D000000}" name="Column13"/>
    <tableColumn id="14" xr3:uid="{00000000-0010-0000-4D00-00000E000000}" name="Column14"/>
    <tableColumn id="15" xr3:uid="{00000000-0010-0000-4D00-00000F000000}" name="Column15"/>
    <tableColumn id="16" xr3:uid="{00000000-0010-0000-4D00-000010000000}" name="Column16"/>
    <tableColumn id="17" xr3:uid="{00000000-0010-0000-4D00-000011000000}" name="Column17"/>
    <tableColumn id="18" xr3:uid="{00000000-0010-0000-4D00-000012000000}" name="Column18"/>
    <tableColumn id="19" xr3:uid="{00000000-0010-0000-4D00-000013000000}" name="Column19"/>
    <tableColumn id="20" xr3:uid="{00000000-0010-0000-4D00-000014000000}" name="Column20"/>
    <tableColumn id="21" xr3:uid="{00000000-0010-0000-4D00-000015000000}" name="Column21"/>
    <tableColumn id="22" xr3:uid="{00000000-0010-0000-4D00-000016000000}" name="Column22"/>
    <tableColumn id="23" xr3:uid="{00000000-0010-0000-4D00-000017000000}" name="Column23"/>
    <tableColumn id="24" xr3:uid="{00000000-0010-0000-4D00-000018000000}" name="Column24"/>
    <tableColumn id="25" xr3:uid="{00000000-0010-0000-4D00-000019000000}" name="Column25"/>
    <tableColumn id="26" xr3:uid="{00000000-0010-0000-4D00-00001A000000}" name="Column26"/>
    <tableColumn id="27" xr3:uid="{00000000-0010-0000-4D00-00001B000000}" name="Column27"/>
    <tableColumn id="28" xr3:uid="{00000000-0010-0000-4D00-00001C000000}" name="Column28"/>
    <tableColumn id="29" xr3:uid="{00000000-0010-0000-4D00-00001D000000}" name="Column29"/>
    <tableColumn id="30" xr3:uid="{00000000-0010-0000-4D00-00001E000000}" name="Column30"/>
    <tableColumn id="31" xr3:uid="{00000000-0010-0000-4D00-00001F000000}" name="Column31"/>
    <tableColumn id="32" xr3:uid="{00000000-0010-0000-4D00-000020000000}" name="Column32"/>
    <tableColumn id="33" xr3:uid="{00000000-0010-0000-4D00-000021000000}" name="Column33"/>
    <tableColumn id="34" xr3:uid="{00000000-0010-0000-4D00-000022000000}" name="Column34"/>
    <tableColumn id="35" xr3:uid="{00000000-0010-0000-4D00-000023000000}" name="Column35"/>
    <tableColumn id="36" xr3:uid="{00000000-0010-0000-4D00-000024000000}" name="Column36"/>
    <tableColumn id="37" xr3:uid="{00000000-0010-0000-4D00-000025000000}" name="Column37"/>
    <tableColumn id="38" xr3:uid="{00000000-0010-0000-4D00-000026000000}" name="Column38"/>
    <tableColumn id="39" xr3:uid="{00000000-0010-0000-4D00-000027000000}" name="Column39"/>
    <tableColumn id="40" xr3:uid="{00000000-0010-0000-4D00-000028000000}" name="Column40"/>
    <tableColumn id="41" xr3:uid="{00000000-0010-0000-4D00-000029000000}" name="Column41"/>
    <tableColumn id="42" xr3:uid="{00000000-0010-0000-4D00-00002A000000}" name="Column42"/>
    <tableColumn id="43" xr3:uid="{00000000-0010-0000-4D00-00002B000000}" name="Column43"/>
    <tableColumn id="44" xr3:uid="{00000000-0010-0000-4D00-00002C000000}" name="Column44"/>
    <tableColumn id="45" xr3:uid="{00000000-0010-0000-4D00-00002D000000}" name="Column45"/>
    <tableColumn id="46" xr3:uid="{00000000-0010-0000-4D00-00002E000000}" name="Column46"/>
    <tableColumn id="47" xr3:uid="{00000000-0010-0000-4D00-00002F000000}" name="Column47"/>
    <tableColumn id="48" xr3:uid="{00000000-0010-0000-4D00-000030000000}" name="Column48"/>
    <tableColumn id="49" xr3:uid="{00000000-0010-0000-4D00-000031000000}" name="Column49"/>
    <tableColumn id="50" xr3:uid="{00000000-0010-0000-4D00-000032000000}" name="Column50"/>
    <tableColumn id="51" xr3:uid="{00000000-0010-0000-4D00-000033000000}" name="Column51"/>
    <tableColumn id="52" xr3:uid="{00000000-0010-0000-4D00-000034000000}" name="Column52"/>
    <tableColumn id="53" xr3:uid="{00000000-0010-0000-4D00-000035000000}" name="Column53"/>
    <tableColumn id="54" xr3:uid="{00000000-0010-0000-4D00-000036000000}" name="Column54"/>
    <tableColumn id="55" xr3:uid="{00000000-0010-0000-4D00-000037000000}" name="Column55"/>
    <tableColumn id="56" xr3:uid="{00000000-0010-0000-4D00-000038000000}" name="Column56"/>
    <tableColumn id="57" xr3:uid="{00000000-0010-0000-4D00-000039000000}" name="Column57"/>
    <tableColumn id="58" xr3:uid="{00000000-0010-0000-4D00-00003A000000}" name="Column58"/>
    <tableColumn id="59" xr3:uid="{00000000-0010-0000-4D00-00003B000000}" name="Column59"/>
    <tableColumn id="60" xr3:uid="{00000000-0010-0000-4D00-00003C000000}" name="Column60"/>
    <tableColumn id="61" xr3:uid="{00000000-0010-0000-4D00-00003D000000}" name="Column61"/>
    <tableColumn id="62" xr3:uid="{00000000-0010-0000-4D00-00003E000000}" name="Column62"/>
    <tableColumn id="63" xr3:uid="{00000000-0010-0000-4D00-00003F000000}" name="Column63"/>
    <tableColumn id="64" xr3:uid="{00000000-0010-0000-4D00-000040000000}" name="Column64"/>
    <tableColumn id="65" xr3:uid="{00000000-0010-0000-4D00-000041000000}" name="Column65"/>
    <tableColumn id="66" xr3:uid="{00000000-0010-0000-4D00-000042000000}" name="Column66"/>
    <tableColumn id="67" xr3:uid="{00000000-0010-0000-4D00-000043000000}" name="Column67"/>
    <tableColumn id="68" xr3:uid="{00000000-0010-0000-4D00-000044000000}" name="Column68"/>
    <tableColumn id="69" xr3:uid="{00000000-0010-0000-4D00-000045000000}" name="Column69"/>
    <tableColumn id="70" xr3:uid="{00000000-0010-0000-4D00-000046000000}" name="Column70"/>
    <tableColumn id="71" xr3:uid="{00000000-0010-0000-4D00-000047000000}" name="Column71"/>
    <tableColumn id="72" xr3:uid="{00000000-0010-0000-4D00-000048000000}" name="Column72"/>
    <tableColumn id="73" xr3:uid="{00000000-0010-0000-4D00-000049000000}" name="Column73"/>
    <tableColumn id="74" xr3:uid="{00000000-0010-0000-4D00-00004A000000}" name="Column74"/>
    <tableColumn id="75" xr3:uid="{00000000-0010-0000-4D00-00004B000000}" name="Column75"/>
    <tableColumn id="76" xr3:uid="{00000000-0010-0000-4D00-00004C000000}" name="Column76"/>
    <tableColumn id="77" xr3:uid="{00000000-0010-0000-4D00-00004D000000}" name="Column77"/>
    <tableColumn id="78" xr3:uid="{00000000-0010-0000-4D00-00004E000000}" name="Column78"/>
    <tableColumn id="79" xr3:uid="{00000000-0010-0000-4D00-00004F000000}" name="Column79"/>
    <tableColumn id="80" xr3:uid="{00000000-0010-0000-4D00-000050000000}" name="Column80"/>
    <tableColumn id="81" xr3:uid="{00000000-0010-0000-4D00-000051000000}" name="Column81"/>
    <tableColumn id="82" xr3:uid="{00000000-0010-0000-4D00-000052000000}" name="Column82"/>
    <tableColumn id="83" xr3:uid="{00000000-0010-0000-4D00-000053000000}" name="Column83"/>
    <tableColumn id="84" xr3:uid="{00000000-0010-0000-4D00-000054000000}" name="Column84"/>
    <tableColumn id="85" xr3:uid="{00000000-0010-0000-4D00-000055000000}" name="Column85"/>
    <tableColumn id="86" xr3:uid="{00000000-0010-0000-4D00-000056000000}" name="Column86"/>
    <tableColumn id="87" xr3:uid="{00000000-0010-0000-4D00-000057000000}" name="Column87"/>
    <tableColumn id="88" xr3:uid="{00000000-0010-0000-4D00-000058000000}" name="Column88"/>
    <tableColumn id="89" xr3:uid="{00000000-0010-0000-4D00-000059000000}" name="Column89"/>
    <tableColumn id="90" xr3:uid="{00000000-0010-0000-4D00-00005A000000}" name="Column90"/>
  </tableColumns>
  <tableStyleInfo name="Copy of DATA_EVALUATI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5" displayName="Table_75" ref="I6:CT7" headerRowCount="0">
  <tableColumns count="90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  <tableColumn id="7" xr3:uid="{00000000-0010-0000-4E00-000007000000}" name="Column7"/>
    <tableColumn id="8" xr3:uid="{00000000-0010-0000-4E00-000008000000}" name="Column8"/>
    <tableColumn id="9" xr3:uid="{00000000-0010-0000-4E00-000009000000}" name="Column9"/>
    <tableColumn id="10" xr3:uid="{00000000-0010-0000-4E00-00000A000000}" name="Column10"/>
    <tableColumn id="11" xr3:uid="{00000000-0010-0000-4E00-00000B000000}" name="Column11"/>
    <tableColumn id="12" xr3:uid="{00000000-0010-0000-4E00-00000C000000}" name="Column12"/>
    <tableColumn id="13" xr3:uid="{00000000-0010-0000-4E00-00000D000000}" name="Column13"/>
    <tableColumn id="14" xr3:uid="{00000000-0010-0000-4E00-00000E000000}" name="Column14"/>
    <tableColumn id="15" xr3:uid="{00000000-0010-0000-4E00-00000F000000}" name="Column15"/>
    <tableColumn id="16" xr3:uid="{00000000-0010-0000-4E00-000010000000}" name="Column16"/>
    <tableColumn id="17" xr3:uid="{00000000-0010-0000-4E00-000011000000}" name="Column17"/>
    <tableColumn id="18" xr3:uid="{00000000-0010-0000-4E00-000012000000}" name="Column18"/>
    <tableColumn id="19" xr3:uid="{00000000-0010-0000-4E00-000013000000}" name="Column19"/>
    <tableColumn id="20" xr3:uid="{00000000-0010-0000-4E00-000014000000}" name="Column20"/>
    <tableColumn id="21" xr3:uid="{00000000-0010-0000-4E00-000015000000}" name="Column21"/>
    <tableColumn id="22" xr3:uid="{00000000-0010-0000-4E00-000016000000}" name="Column22"/>
    <tableColumn id="23" xr3:uid="{00000000-0010-0000-4E00-000017000000}" name="Column23"/>
    <tableColumn id="24" xr3:uid="{00000000-0010-0000-4E00-000018000000}" name="Column24"/>
    <tableColumn id="25" xr3:uid="{00000000-0010-0000-4E00-000019000000}" name="Column25"/>
    <tableColumn id="26" xr3:uid="{00000000-0010-0000-4E00-00001A000000}" name="Column26"/>
    <tableColumn id="27" xr3:uid="{00000000-0010-0000-4E00-00001B000000}" name="Column27"/>
    <tableColumn id="28" xr3:uid="{00000000-0010-0000-4E00-00001C000000}" name="Column28"/>
    <tableColumn id="29" xr3:uid="{00000000-0010-0000-4E00-00001D000000}" name="Column29"/>
    <tableColumn id="30" xr3:uid="{00000000-0010-0000-4E00-00001E000000}" name="Column30"/>
    <tableColumn id="31" xr3:uid="{00000000-0010-0000-4E00-00001F000000}" name="Column31"/>
    <tableColumn id="32" xr3:uid="{00000000-0010-0000-4E00-000020000000}" name="Column32"/>
    <tableColumn id="33" xr3:uid="{00000000-0010-0000-4E00-000021000000}" name="Column33"/>
    <tableColumn id="34" xr3:uid="{00000000-0010-0000-4E00-000022000000}" name="Column34"/>
    <tableColumn id="35" xr3:uid="{00000000-0010-0000-4E00-000023000000}" name="Column35"/>
    <tableColumn id="36" xr3:uid="{00000000-0010-0000-4E00-000024000000}" name="Column36"/>
    <tableColumn id="37" xr3:uid="{00000000-0010-0000-4E00-000025000000}" name="Column37"/>
    <tableColumn id="38" xr3:uid="{00000000-0010-0000-4E00-000026000000}" name="Column38"/>
    <tableColumn id="39" xr3:uid="{00000000-0010-0000-4E00-000027000000}" name="Column39"/>
    <tableColumn id="40" xr3:uid="{00000000-0010-0000-4E00-000028000000}" name="Column40"/>
    <tableColumn id="41" xr3:uid="{00000000-0010-0000-4E00-000029000000}" name="Column41"/>
    <tableColumn id="42" xr3:uid="{00000000-0010-0000-4E00-00002A000000}" name="Column42"/>
    <tableColumn id="43" xr3:uid="{00000000-0010-0000-4E00-00002B000000}" name="Column43"/>
    <tableColumn id="44" xr3:uid="{00000000-0010-0000-4E00-00002C000000}" name="Column44"/>
    <tableColumn id="45" xr3:uid="{00000000-0010-0000-4E00-00002D000000}" name="Column45"/>
    <tableColumn id="46" xr3:uid="{00000000-0010-0000-4E00-00002E000000}" name="Column46"/>
    <tableColumn id="47" xr3:uid="{00000000-0010-0000-4E00-00002F000000}" name="Column47"/>
    <tableColumn id="48" xr3:uid="{00000000-0010-0000-4E00-000030000000}" name="Column48"/>
    <tableColumn id="49" xr3:uid="{00000000-0010-0000-4E00-000031000000}" name="Column49"/>
    <tableColumn id="50" xr3:uid="{00000000-0010-0000-4E00-000032000000}" name="Column50"/>
    <tableColumn id="51" xr3:uid="{00000000-0010-0000-4E00-000033000000}" name="Column51"/>
    <tableColumn id="52" xr3:uid="{00000000-0010-0000-4E00-000034000000}" name="Column52"/>
    <tableColumn id="53" xr3:uid="{00000000-0010-0000-4E00-000035000000}" name="Column53"/>
    <tableColumn id="54" xr3:uid="{00000000-0010-0000-4E00-000036000000}" name="Column54"/>
    <tableColumn id="55" xr3:uid="{00000000-0010-0000-4E00-000037000000}" name="Column55"/>
    <tableColumn id="56" xr3:uid="{00000000-0010-0000-4E00-000038000000}" name="Column56"/>
    <tableColumn id="57" xr3:uid="{00000000-0010-0000-4E00-000039000000}" name="Column57"/>
    <tableColumn id="58" xr3:uid="{00000000-0010-0000-4E00-00003A000000}" name="Column58"/>
    <tableColumn id="59" xr3:uid="{00000000-0010-0000-4E00-00003B000000}" name="Column59"/>
    <tableColumn id="60" xr3:uid="{00000000-0010-0000-4E00-00003C000000}" name="Column60"/>
    <tableColumn id="61" xr3:uid="{00000000-0010-0000-4E00-00003D000000}" name="Column61"/>
    <tableColumn id="62" xr3:uid="{00000000-0010-0000-4E00-00003E000000}" name="Column62"/>
    <tableColumn id="63" xr3:uid="{00000000-0010-0000-4E00-00003F000000}" name="Column63"/>
    <tableColumn id="64" xr3:uid="{00000000-0010-0000-4E00-000040000000}" name="Column64"/>
    <tableColumn id="65" xr3:uid="{00000000-0010-0000-4E00-000041000000}" name="Column65"/>
    <tableColumn id="66" xr3:uid="{00000000-0010-0000-4E00-000042000000}" name="Column66"/>
    <tableColumn id="67" xr3:uid="{00000000-0010-0000-4E00-000043000000}" name="Column67"/>
    <tableColumn id="68" xr3:uid="{00000000-0010-0000-4E00-000044000000}" name="Column68"/>
    <tableColumn id="69" xr3:uid="{00000000-0010-0000-4E00-000045000000}" name="Column69"/>
    <tableColumn id="70" xr3:uid="{00000000-0010-0000-4E00-000046000000}" name="Column70"/>
    <tableColumn id="71" xr3:uid="{00000000-0010-0000-4E00-000047000000}" name="Column71"/>
    <tableColumn id="72" xr3:uid="{00000000-0010-0000-4E00-000048000000}" name="Column72"/>
    <tableColumn id="73" xr3:uid="{00000000-0010-0000-4E00-000049000000}" name="Column73"/>
    <tableColumn id="74" xr3:uid="{00000000-0010-0000-4E00-00004A000000}" name="Column74"/>
    <tableColumn id="75" xr3:uid="{00000000-0010-0000-4E00-00004B000000}" name="Column75"/>
    <tableColumn id="76" xr3:uid="{00000000-0010-0000-4E00-00004C000000}" name="Column76"/>
    <tableColumn id="77" xr3:uid="{00000000-0010-0000-4E00-00004D000000}" name="Column77"/>
    <tableColumn id="78" xr3:uid="{00000000-0010-0000-4E00-00004E000000}" name="Column78"/>
    <tableColumn id="79" xr3:uid="{00000000-0010-0000-4E00-00004F000000}" name="Column79"/>
    <tableColumn id="80" xr3:uid="{00000000-0010-0000-4E00-000050000000}" name="Column80"/>
    <tableColumn id="81" xr3:uid="{00000000-0010-0000-4E00-000051000000}" name="Column81"/>
    <tableColumn id="82" xr3:uid="{00000000-0010-0000-4E00-000052000000}" name="Column82"/>
    <tableColumn id="83" xr3:uid="{00000000-0010-0000-4E00-000053000000}" name="Column83"/>
    <tableColumn id="84" xr3:uid="{00000000-0010-0000-4E00-000054000000}" name="Column84"/>
    <tableColumn id="85" xr3:uid="{00000000-0010-0000-4E00-000055000000}" name="Column85"/>
    <tableColumn id="86" xr3:uid="{00000000-0010-0000-4E00-000056000000}" name="Column86"/>
    <tableColumn id="87" xr3:uid="{00000000-0010-0000-4E00-000057000000}" name="Column87"/>
    <tableColumn id="88" xr3:uid="{00000000-0010-0000-4E00-000058000000}" name="Column88"/>
    <tableColumn id="89" xr3:uid="{00000000-0010-0000-4E00-000059000000}" name="Column89"/>
    <tableColumn id="90" xr3:uid="{00000000-0010-0000-4E00-00005A000000}" name="Column90"/>
  </tableColumns>
  <tableStyleInfo name="Copy of DATA_EVALUATION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76" displayName="Table_76" ref="I8:CT22" headerRowCount="0">
  <tableColumns count="90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  <tableColumn id="6" xr3:uid="{00000000-0010-0000-4F00-000006000000}" name="Column6"/>
    <tableColumn id="7" xr3:uid="{00000000-0010-0000-4F00-000007000000}" name="Column7"/>
    <tableColumn id="8" xr3:uid="{00000000-0010-0000-4F00-000008000000}" name="Column8"/>
    <tableColumn id="9" xr3:uid="{00000000-0010-0000-4F00-000009000000}" name="Column9"/>
    <tableColumn id="10" xr3:uid="{00000000-0010-0000-4F00-00000A000000}" name="Column10"/>
    <tableColumn id="11" xr3:uid="{00000000-0010-0000-4F00-00000B000000}" name="Column11"/>
    <tableColumn id="12" xr3:uid="{00000000-0010-0000-4F00-00000C000000}" name="Column12"/>
    <tableColumn id="13" xr3:uid="{00000000-0010-0000-4F00-00000D000000}" name="Column13"/>
    <tableColumn id="14" xr3:uid="{00000000-0010-0000-4F00-00000E000000}" name="Column14"/>
    <tableColumn id="15" xr3:uid="{00000000-0010-0000-4F00-00000F000000}" name="Column15"/>
    <tableColumn id="16" xr3:uid="{00000000-0010-0000-4F00-000010000000}" name="Column16"/>
    <tableColumn id="17" xr3:uid="{00000000-0010-0000-4F00-000011000000}" name="Column17"/>
    <tableColumn id="18" xr3:uid="{00000000-0010-0000-4F00-000012000000}" name="Column18"/>
    <tableColumn id="19" xr3:uid="{00000000-0010-0000-4F00-000013000000}" name="Column19"/>
    <tableColumn id="20" xr3:uid="{00000000-0010-0000-4F00-000014000000}" name="Column20"/>
    <tableColumn id="21" xr3:uid="{00000000-0010-0000-4F00-000015000000}" name="Column21"/>
    <tableColumn id="22" xr3:uid="{00000000-0010-0000-4F00-000016000000}" name="Column22"/>
    <tableColumn id="23" xr3:uid="{00000000-0010-0000-4F00-000017000000}" name="Column23"/>
    <tableColumn id="24" xr3:uid="{00000000-0010-0000-4F00-000018000000}" name="Column24"/>
    <tableColumn id="25" xr3:uid="{00000000-0010-0000-4F00-000019000000}" name="Column25"/>
    <tableColumn id="26" xr3:uid="{00000000-0010-0000-4F00-00001A000000}" name="Column26"/>
    <tableColumn id="27" xr3:uid="{00000000-0010-0000-4F00-00001B000000}" name="Column27"/>
    <tableColumn id="28" xr3:uid="{00000000-0010-0000-4F00-00001C000000}" name="Column28"/>
    <tableColumn id="29" xr3:uid="{00000000-0010-0000-4F00-00001D000000}" name="Column29"/>
    <tableColumn id="30" xr3:uid="{00000000-0010-0000-4F00-00001E000000}" name="Column30"/>
    <tableColumn id="31" xr3:uid="{00000000-0010-0000-4F00-00001F000000}" name="Column31"/>
    <tableColumn id="32" xr3:uid="{00000000-0010-0000-4F00-000020000000}" name="Column32"/>
    <tableColumn id="33" xr3:uid="{00000000-0010-0000-4F00-000021000000}" name="Column33"/>
    <tableColumn id="34" xr3:uid="{00000000-0010-0000-4F00-000022000000}" name="Column34"/>
    <tableColumn id="35" xr3:uid="{00000000-0010-0000-4F00-000023000000}" name="Column35"/>
    <tableColumn id="36" xr3:uid="{00000000-0010-0000-4F00-000024000000}" name="Column36"/>
    <tableColumn id="37" xr3:uid="{00000000-0010-0000-4F00-000025000000}" name="Column37"/>
    <tableColumn id="38" xr3:uid="{00000000-0010-0000-4F00-000026000000}" name="Column38"/>
    <tableColumn id="39" xr3:uid="{00000000-0010-0000-4F00-000027000000}" name="Column39"/>
    <tableColumn id="40" xr3:uid="{00000000-0010-0000-4F00-000028000000}" name="Column40"/>
    <tableColumn id="41" xr3:uid="{00000000-0010-0000-4F00-000029000000}" name="Column41"/>
    <tableColumn id="42" xr3:uid="{00000000-0010-0000-4F00-00002A000000}" name="Column42"/>
    <tableColumn id="43" xr3:uid="{00000000-0010-0000-4F00-00002B000000}" name="Column43"/>
    <tableColumn id="44" xr3:uid="{00000000-0010-0000-4F00-00002C000000}" name="Column44"/>
    <tableColumn id="45" xr3:uid="{00000000-0010-0000-4F00-00002D000000}" name="Column45"/>
    <tableColumn id="46" xr3:uid="{00000000-0010-0000-4F00-00002E000000}" name="Column46"/>
    <tableColumn id="47" xr3:uid="{00000000-0010-0000-4F00-00002F000000}" name="Column47"/>
    <tableColumn id="48" xr3:uid="{00000000-0010-0000-4F00-000030000000}" name="Column48"/>
    <tableColumn id="49" xr3:uid="{00000000-0010-0000-4F00-000031000000}" name="Column49"/>
    <tableColumn id="50" xr3:uid="{00000000-0010-0000-4F00-000032000000}" name="Column50"/>
    <tableColumn id="51" xr3:uid="{00000000-0010-0000-4F00-000033000000}" name="Column51"/>
    <tableColumn id="52" xr3:uid="{00000000-0010-0000-4F00-000034000000}" name="Column52"/>
    <tableColumn id="53" xr3:uid="{00000000-0010-0000-4F00-000035000000}" name="Column53"/>
    <tableColumn id="54" xr3:uid="{00000000-0010-0000-4F00-000036000000}" name="Column54"/>
    <tableColumn id="55" xr3:uid="{00000000-0010-0000-4F00-000037000000}" name="Column55"/>
    <tableColumn id="56" xr3:uid="{00000000-0010-0000-4F00-000038000000}" name="Column56"/>
    <tableColumn id="57" xr3:uid="{00000000-0010-0000-4F00-000039000000}" name="Column57"/>
    <tableColumn id="58" xr3:uid="{00000000-0010-0000-4F00-00003A000000}" name="Column58"/>
    <tableColumn id="59" xr3:uid="{00000000-0010-0000-4F00-00003B000000}" name="Column59"/>
    <tableColumn id="60" xr3:uid="{00000000-0010-0000-4F00-00003C000000}" name="Column60"/>
    <tableColumn id="61" xr3:uid="{00000000-0010-0000-4F00-00003D000000}" name="Column61"/>
    <tableColumn id="62" xr3:uid="{00000000-0010-0000-4F00-00003E000000}" name="Column62"/>
    <tableColumn id="63" xr3:uid="{00000000-0010-0000-4F00-00003F000000}" name="Column63"/>
    <tableColumn id="64" xr3:uid="{00000000-0010-0000-4F00-000040000000}" name="Column64"/>
    <tableColumn id="65" xr3:uid="{00000000-0010-0000-4F00-000041000000}" name="Column65"/>
    <tableColumn id="66" xr3:uid="{00000000-0010-0000-4F00-000042000000}" name="Column66"/>
    <tableColumn id="67" xr3:uid="{00000000-0010-0000-4F00-000043000000}" name="Column67"/>
    <tableColumn id="68" xr3:uid="{00000000-0010-0000-4F00-000044000000}" name="Column68"/>
    <tableColumn id="69" xr3:uid="{00000000-0010-0000-4F00-000045000000}" name="Column69"/>
    <tableColumn id="70" xr3:uid="{00000000-0010-0000-4F00-000046000000}" name="Column70"/>
    <tableColumn id="71" xr3:uid="{00000000-0010-0000-4F00-000047000000}" name="Column71"/>
    <tableColumn id="72" xr3:uid="{00000000-0010-0000-4F00-000048000000}" name="Column72"/>
    <tableColumn id="73" xr3:uid="{00000000-0010-0000-4F00-000049000000}" name="Column73"/>
    <tableColumn id="74" xr3:uid="{00000000-0010-0000-4F00-00004A000000}" name="Column74"/>
    <tableColumn id="75" xr3:uid="{00000000-0010-0000-4F00-00004B000000}" name="Column75"/>
    <tableColumn id="76" xr3:uid="{00000000-0010-0000-4F00-00004C000000}" name="Column76"/>
    <tableColumn id="77" xr3:uid="{00000000-0010-0000-4F00-00004D000000}" name="Column77"/>
    <tableColumn id="78" xr3:uid="{00000000-0010-0000-4F00-00004E000000}" name="Column78"/>
    <tableColumn id="79" xr3:uid="{00000000-0010-0000-4F00-00004F000000}" name="Column79"/>
    <tableColumn id="80" xr3:uid="{00000000-0010-0000-4F00-000050000000}" name="Column80"/>
    <tableColumn id="81" xr3:uid="{00000000-0010-0000-4F00-000051000000}" name="Column81"/>
    <tableColumn id="82" xr3:uid="{00000000-0010-0000-4F00-000052000000}" name="Column82"/>
    <tableColumn id="83" xr3:uid="{00000000-0010-0000-4F00-000053000000}" name="Column83"/>
    <tableColumn id="84" xr3:uid="{00000000-0010-0000-4F00-000054000000}" name="Column84"/>
    <tableColumn id="85" xr3:uid="{00000000-0010-0000-4F00-000055000000}" name="Column85"/>
    <tableColumn id="86" xr3:uid="{00000000-0010-0000-4F00-000056000000}" name="Column86"/>
    <tableColumn id="87" xr3:uid="{00000000-0010-0000-4F00-000057000000}" name="Column87"/>
    <tableColumn id="88" xr3:uid="{00000000-0010-0000-4F00-000058000000}" name="Column88"/>
    <tableColumn id="89" xr3:uid="{00000000-0010-0000-4F00-000059000000}" name="Column89"/>
    <tableColumn id="90" xr3:uid="{00000000-0010-0000-4F00-00005A000000}" name="Column90"/>
  </tableColumns>
  <tableStyleInfo name="Copy of DATA_EVALUATION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77" displayName="Table_77" ref="H21:H22" headerRowCount="0">
  <tableColumns count="1">
    <tableColumn id="1" xr3:uid="{00000000-0010-0000-5000-000001000000}" name="Column1"/>
  </tableColumns>
  <tableStyleInfo name="Copy of DATA_EVALUATION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T22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12.5703125" defaultRowHeight="15.75" customHeight="1" x14ac:dyDescent="0.2"/>
  <cols>
    <col min="18" max="18" width="21.42578125" customWidth="1"/>
  </cols>
  <sheetData>
    <row r="1" spans="1:98" ht="22.5" customHeight="1" x14ac:dyDescent="0.2">
      <c r="A1" s="25" t="s">
        <v>116</v>
      </c>
      <c r="B1" s="9" t="s">
        <v>117</v>
      </c>
      <c r="C1" s="9" t="s">
        <v>118</v>
      </c>
      <c r="D1" s="9" t="s">
        <v>119</v>
      </c>
      <c r="E1" s="10" t="s">
        <v>113</v>
      </c>
      <c r="F1" s="11" t="s">
        <v>120</v>
      </c>
      <c r="G1" s="12" t="s">
        <v>121</v>
      </c>
      <c r="H1" s="12" t="s">
        <v>114</v>
      </c>
      <c r="I1" s="26" t="s">
        <v>0</v>
      </c>
      <c r="J1" s="26" t="s">
        <v>1</v>
      </c>
      <c r="K1" s="26" t="s">
        <v>2</v>
      </c>
      <c r="L1" s="26" t="s">
        <v>3</v>
      </c>
      <c r="M1" s="26" t="s">
        <v>4</v>
      </c>
      <c r="N1" s="26" t="s">
        <v>5</v>
      </c>
      <c r="O1" s="26" t="s">
        <v>6</v>
      </c>
      <c r="P1" s="26" t="s">
        <v>7</v>
      </c>
      <c r="Q1" s="26" t="s">
        <v>8</v>
      </c>
      <c r="R1" s="26" t="s">
        <v>143</v>
      </c>
      <c r="S1" s="26" t="s">
        <v>9</v>
      </c>
      <c r="T1" s="26" t="s">
        <v>10</v>
      </c>
      <c r="U1" s="26" t="s">
        <v>11</v>
      </c>
      <c r="V1" s="26" t="s">
        <v>12</v>
      </c>
      <c r="W1" s="26" t="s">
        <v>13</v>
      </c>
      <c r="X1" s="26" t="s">
        <v>14</v>
      </c>
      <c r="Y1" s="26" t="s">
        <v>15</v>
      </c>
      <c r="Z1" s="26" t="s">
        <v>16</v>
      </c>
      <c r="AA1" s="26" t="s">
        <v>17</v>
      </c>
      <c r="AB1" s="26" t="s">
        <v>18</v>
      </c>
      <c r="AC1" s="26" t="s">
        <v>19</v>
      </c>
      <c r="AD1" s="26" t="s">
        <v>20</v>
      </c>
      <c r="AE1" s="26" t="s">
        <v>21</v>
      </c>
      <c r="AF1" s="26" t="s">
        <v>22</v>
      </c>
      <c r="AG1" s="26" t="s">
        <v>23</v>
      </c>
      <c r="AH1" s="26" t="s">
        <v>24</v>
      </c>
      <c r="AI1" s="26" t="s">
        <v>25</v>
      </c>
      <c r="AJ1" s="26" t="s">
        <v>26</v>
      </c>
      <c r="AK1" s="26" t="s">
        <v>27</v>
      </c>
      <c r="AL1" s="26" t="s">
        <v>28</v>
      </c>
      <c r="AM1" s="26" t="s">
        <v>29</v>
      </c>
      <c r="AN1" s="26" t="s">
        <v>30</v>
      </c>
      <c r="AO1" s="26" t="s">
        <v>31</v>
      </c>
      <c r="AP1" s="26" t="s">
        <v>32</v>
      </c>
      <c r="AQ1" s="26" t="s">
        <v>33</v>
      </c>
      <c r="AR1" s="26" t="s">
        <v>34</v>
      </c>
      <c r="AS1" s="26" t="s">
        <v>35</v>
      </c>
      <c r="AT1" s="26" t="s">
        <v>36</v>
      </c>
      <c r="AU1" s="26" t="s">
        <v>37</v>
      </c>
      <c r="AV1" s="26" t="s">
        <v>38</v>
      </c>
      <c r="AW1" s="26" t="s">
        <v>39</v>
      </c>
      <c r="AX1" s="26" t="s">
        <v>40</v>
      </c>
      <c r="AY1" s="26" t="s">
        <v>41</v>
      </c>
      <c r="AZ1" s="26" t="s">
        <v>42</v>
      </c>
      <c r="BA1" s="26" t="s">
        <v>43</v>
      </c>
      <c r="BB1" s="26" t="s">
        <v>44</v>
      </c>
      <c r="BC1" s="26" t="s">
        <v>45</v>
      </c>
      <c r="BD1" s="26" t="s">
        <v>46</v>
      </c>
      <c r="BE1" s="26" t="s">
        <v>47</v>
      </c>
      <c r="BF1" s="26" t="s">
        <v>48</v>
      </c>
      <c r="BG1" s="26" t="s">
        <v>49</v>
      </c>
      <c r="BH1" s="26" t="s">
        <v>50</v>
      </c>
      <c r="BI1" s="26" t="s">
        <v>51</v>
      </c>
      <c r="BJ1" s="26" t="s">
        <v>52</v>
      </c>
      <c r="BK1" s="26" t="s">
        <v>53</v>
      </c>
      <c r="BL1" s="26" t="s">
        <v>54</v>
      </c>
      <c r="BM1" s="26" t="s">
        <v>55</v>
      </c>
      <c r="BN1" s="26" t="s">
        <v>56</v>
      </c>
      <c r="BO1" s="26" t="s">
        <v>57</v>
      </c>
      <c r="BP1" s="26" t="s">
        <v>58</v>
      </c>
      <c r="BQ1" s="26" t="s">
        <v>59</v>
      </c>
      <c r="BR1" s="26" t="s">
        <v>60</v>
      </c>
      <c r="BS1" s="26" t="s">
        <v>61</v>
      </c>
      <c r="BT1" s="26" t="s">
        <v>62</v>
      </c>
      <c r="BU1" s="26" t="s">
        <v>63</v>
      </c>
      <c r="BV1" s="26" t="s">
        <v>64</v>
      </c>
      <c r="BW1" s="26" t="s">
        <v>65</v>
      </c>
      <c r="BX1" s="26" t="s">
        <v>66</v>
      </c>
      <c r="BY1" s="26" t="s">
        <v>67</v>
      </c>
      <c r="BZ1" s="26" t="s">
        <v>68</v>
      </c>
      <c r="CA1" s="26" t="s">
        <v>69</v>
      </c>
      <c r="CB1" s="26" t="s">
        <v>70</v>
      </c>
      <c r="CC1" s="26" t="s">
        <v>71</v>
      </c>
      <c r="CD1" s="26" t="s">
        <v>72</v>
      </c>
      <c r="CE1" s="26" t="s">
        <v>73</v>
      </c>
      <c r="CF1" s="26" t="s">
        <v>74</v>
      </c>
      <c r="CG1" s="26" t="s">
        <v>75</v>
      </c>
      <c r="CH1" s="26" t="s">
        <v>76</v>
      </c>
      <c r="CI1" s="26" t="s">
        <v>77</v>
      </c>
      <c r="CJ1" s="26" t="s">
        <v>78</v>
      </c>
      <c r="CK1" s="26" t="s">
        <v>79</v>
      </c>
      <c r="CL1" s="26" t="s">
        <v>80</v>
      </c>
      <c r="CM1" s="26" t="s">
        <v>81</v>
      </c>
      <c r="CN1" s="26" t="s">
        <v>82</v>
      </c>
      <c r="CO1" s="26" t="s">
        <v>83</v>
      </c>
      <c r="CP1" s="26" t="s">
        <v>84</v>
      </c>
      <c r="CQ1" s="26" t="s">
        <v>85</v>
      </c>
      <c r="CR1" s="26" t="s">
        <v>86</v>
      </c>
      <c r="CS1" s="26" t="s">
        <v>87</v>
      </c>
      <c r="CT1" s="26" t="s">
        <v>88</v>
      </c>
    </row>
    <row r="2" spans="1:98" ht="15" x14ac:dyDescent="0.25">
      <c r="A2" s="34" t="s">
        <v>123</v>
      </c>
      <c r="B2" s="35">
        <v>71</v>
      </c>
      <c r="C2" s="35">
        <v>71</v>
      </c>
      <c r="D2" s="35">
        <v>53</v>
      </c>
      <c r="E2" s="33">
        <v>62.9</v>
      </c>
      <c r="F2" s="13" t="s">
        <v>122</v>
      </c>
      <c r="G2" s="21">
        <v>1.9319</v>
      </c>
      <c r="H2" s="15">
        <v>45748</v>
      </c>
      <c r="I2" s="19" t="s">
        <v>106</v>
      </c>
      <c r="J2" s="19" t="s">
        <v>96</v>
      </c>
      <c r="K2" s="8"/>
      <c r="L2" s="19" t="s">
        <v>96</v>
      </c>
      <c r="M2" s="8"/>
      <c r="N2" s="19" t="s">
        <v>90</v>
      </c>
      <c r="O2" s="19" t="s">
        <v>144</v>
      </c>
      <c r="P2" s="19" t="s">
        <v>94</v>
      </c>
      <c r="Q2" s="7" t="s">
        <v>91</v>
      </c>
      <c r="R2" s="27"/>
      <c r="S2" s="29" t="s">
        <v>90</v>
      </c>
      <c r="T2" s="29" t="s">
        <v>95</v>
      </c>
      <c r="U2" s="29" t="s">
        <v>145</v>
      </c>
      <c r="V2" s="29" t="s">
        <v>91</v>
      </c>
      <c r="W2" s="24"/>
      <c r="X2" s="29" t="s">
        <v>90</v>
      </c>
      <c r="Y2" s="7" t="s">
        <v>100</v>
      </c>
      <c r="Z2" s="32">
        <v>3</v>
      </c>
      <c r="AA2" s="1">
        <v>1</v>
      </c>
      <c r="AB2" s="1">
        <v>2</v>
      </c>
      <c r="AC2" s="1">
        <v>2</v>
      </c>
      <c r="AD2" s="1">
        <v>3</v>
      </c>
      <c r="AE2" s="1">
        <v>2</v>
      </c>
      <c r="AF2" s="1">
        <v>2</v>
      </c>
      <c r="AG2" s="1">
        <v>2</v>
      </c>
      <c r="AH2" s="1">
        <v>2</v>
      </c>
      <c r="AI2" s="1">
        <v>2</v>
      </c>
      <c r="AJ2" s="1">
        <v>2</v>
      </c>
      <c r="AK2" s="1">
        <v>2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4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2</v>
      </c>
      <c r="BM2" s="1">
        <v>4</v>
      </c>
      <c r="BN2" s="1">
        <v>1</v>
      </c>
      <c r="BO2" s="1">
        <v>1</v>
      </c>
      <c r="BP2" s="1">
        <v>1</v>
      </c>
      <c r="BQ2" s="1">
        <v>1</v>
      </c>
      <c r="BR2" s="1">
        <v>2</v>
      </c>
      <c r="BS2" s="1">
        <v>2</v>
      </c>
      <c r="BT2" s="1">
        <v>1</v>
      </c>
      <c r="BU2" s="1">
        <v>2</v>
      </c>
      <c r="BV2" s="1">
        <v>1</v>
      </c>
      <c r="BW2" s="1">
        <v>1</v>
      </c>
      <c r="BX2" s="1">
        <v>1</v>
      </c>
      <c r="BY2" s="1">
        <v>1</v>
      </c>
      <c r="BZ2" s="1">
        <v>3</v>
      </c>
      <c r="CA2" s="1">
        <v>4</v>
      </c>
      <c r="CB2" s="1">
        <v>3</v>
      </c>
      <c r="CC2" s="1">
        <v>3</v>
      </c>
      <c r="CD2" s="1">
        <v>3</v>
      </c>
      <c r="CE2" s="1">
        <v>2</v>
      </c>
      <c r="CF2" s="1">
        <v>2</v>
      </c>
      <c r="CG2" s="1">
        <v>3</v>
      </c>
      <c r="CH2" s="1">
        <v>3</v>
      </c>
      <c r="CI2" s="1">
        <v>3</v>
      </c>
      <c r="CJ2" s="1">
        <v>2</v>
      </c>
      <c r="CK2" s="1">
        <v>1</v>
      </c>
      <c r="CL2" s="1">
        <v>2</v>
      </c>
      <c r="CM2" s="1">
        <v>2</v>
      </c>
      <c r="CN2" s="1">
        <v>2</v>
      </c>
      <c r="CO2" s="1">
        <v>3</v>
      </c>
      <c r="CP2" s="1">
        <v>2</v>
      </c>
      <c r="CQ2" s="1">
        <v>3</v>
      </c>
      <c r="CR2" s="1">
        <v>2</v>
      </c>
      <c r="CS2" s="1">
        <v>2</v>
      </c>
      <c r="CT2" s="3">
        <v>1</v>
      </c>
    </row>
    <row r="3" spans="1:98" ht="15" x14ac:dyDescent="0.25">
      <c r="A3" s="28" t="s">
        <v>124</v>
      </c>
      <c r="B3" s="23">
        <v>70</v>
      </c>
      <c r="C3" s="23">
        <v>70</v>
      </c>
      <c r="D3" s="23">
        <v>70</v>
      </c>
      <c r="E3" s="17">
        <v>67.849999999999994</v>
      </c>
      <c r="F3" s="13" t="s">
        <v>122</v>
      </c>
      <c r="G3" s="21">
        <v>2.1652</v>
      </c>
      <c r="H3" s="15">
        <v>45748</v>
      </c>
      <c r="I3" s="19" t="s">
        <v>97</v>
      </c>
      <c r="J3" s="19" t="s">
        <v>96</v>
      </c>
      <c r="K3" s="8"/>
      <c r="L3" s="19" t="s">
        <v>96</v>
      </c>
      <c r="M3" s="8"/>
      <c r="N3" s="19" t="s">
        <v>91</v>
      </c>
      <c r="O3" s="8"/>
      <c r="P3" s="19" t="s">
        <v>94</v>
      </c>
      <c r="Q3" s="3" t="s">
        <v>91</v>
      </c>
      <c r="R3" s="4"/>
      <c r="S3" s="30" t="s">
        <v>90</v>
      </c>
      <c r="T3" s="30" t="s">
        <v>115</v>
      </c>
      <c r="U3" s="30" t="s">
        <v>146</v>
      </c>
      <c r="V3" s="30" t="s">
        <v>90</v>
      </c>
      <c r="W3" s="3" t="s">
        <v>105</v>
      </c>
      <c r="X3" s="29" t="s">
        <v>90</v>
      </c>
      <c r="Y3" s="36" t="s">
        <v>147</v>
      </c>
      <c r="Z3" s="32">
        <v>1</v>
      </c>
      <c r="AA3" s="1">
        <v>2</v>
      </c>
      <c r="AB3" s="1">
        <v>3</v>
      </c>
      <c r="AC3" s="1">
        <v>2</v>
      </c>
      <c r="AD3" s="1">
        <v>2</v>
      </c>
      <c r="AE3" s="1">
        <v>2</v>
      </c>
      <c r="AF3" s="1">
        <v>2</v>
      </c>
      <c r="AG3" s="1">
        <v>2</v>
      </c>
      <c r="AH3" s="1">
        <v>2</v>
      </c>
      <c r="AI3" s="1">
        <v>2</v>
      </c>
      <c r="AJ3" s="1">
        <v>2</v>
      </c>
      <c r="AK3" s="1">
        <v>3</v>
      </c>
      <c r="AL3" s="1">
        <v>1</v>
      </c>
      <c r="AM3" s="1">
        <v>1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v>1</v>
      </c>
      <c r="BA3" s="1">
        <v>1</v>
      </c>
      <c r="BB3" s="1">
        <v>4</v>
      </c>
      <c r="BC3" s="1">
        <v>1</v>
      </c>
      <c r="BD3" s="1">
        <v>1</v>
      </c>
      <c r="BE3" s="1">
        <v>1</v>
      </c>
      <c r="BF3" s="1">
        <v>1</v>
      </c>
      <c r="BG3" s="1">
        <v>1</v>
      </c>
      <c r="BH3" s="1">
        <v>1</v>
      </c>
      <c r="BI3" s="1">
        <v>1</v>
      </c>
      <c r="BJ3" s="1">
        <v>1</v>
      </c>
      <c r="BK3" s="1">
        <v>3</v>
      </c>
      <c r="BL3" s="1">
        <v>4</v>
      </c>
      <c r="BM3" s="1">
        <v>3</v>
      </c>
      <c r="BN3" s="1">
        <v>1</v>
      </c>
      <c r="BO3" s="1">
        <v>1</v>
      </c>
      <c r="BP3" s="1">
        <v>1</v>
      </c>
      <c r="BQ3" s="1">
        <v>1</v>
      </c>
      <c r="BR3" s="1">
        <v>3</v>
      </c>
      <c r="BS3" s="1">
        <v>1</v>
      </c>
      <c r="BT3" s="1">
        <v>2</v>
      </c>
      <c r="BU3" s="1">
        <v>1</v>
      </c>
      <c r="BV3" s="1">
        <v>1</v>
      </c>
      <c r="BW3" s="1">
        <v>1</v>
      </c>
      <c r="BX3" s="1">
        <v>1</v>
      </c>
      <c r="BY3" s="1">
        <v>1</v>
      </c>
      <c r="BZ3" s="1">
        <v>3</v>
      </c>
      <c r="CA3" s="1">
        <v>2</v>
      </c>
      <c r="CB3" s="1">
        <v>3</v>
      </c>
      <c r="CC3" s="1">
        <v>3</v>
      </c>
      <c r="CD3" s="1">
        <v>3</v>
      </c>
      <c r="CE3" s="1">
        <v>2</v>
      </c>
      <c r="CF3" s="1">
        <v>3</v>
      </c>
      <c r="CG3" s="1">
        <v>3</v>
      </c>
      <c r="CH3" s="1">
        <v>3</v>
      </c>
      <c r="CI3" s="1">
        <v>3</v>
      </c>
      <c r="CJ3" s="1">
        <v>2</v>
      </c>
      <c r="CK3" s="1">
        <v>1</v>
      </c>
      <c r="CL3" s="1">
        <v>3</v>
      </c>
      <c r="CM3" s="1">
        <v>3</v>
      </c>
      <c r="CN3" s="1">
        <v>3</v>
      </c>
      <c r="CO3" s="1">
        <v>2</v>
      </c>
      <c r="CP3" s="1">
        <v>3</v>
      </c>
      <c r="CQ3" s="1">
        <v>3</v>
      </c>
      <c r="CR3" s="1">
        <v>2</v>
      </c>
      <c r="CS3" s="1">
        <v>3</v>
      </c>
      <c r="CT3" s="6">
        <v>2</v>
      </c>
    </row>
    <row r="4" spans="1:98" ht="15" x14ac:dyDescent="0.25">
      <c r="A4" s="22" t="s">
        <v>125</v>
      </c>
      <c r="B4" s="23">
        <v>75</v>
      </c>
      <c r="C4" s="23">
        <v>73</v>
      </c>
      <c r="D4" s="23">
        <v>72</v>
      </c>
      <c r="E4" s="17">
        <v>73.05</v>
      </c>
      <c r="F4" s="13" t="str">
        <f t="shared" ref="F4:F8" si="0">IF(E4&gt;=70,"PASSED", "---")</f>
        <v>PASSED</v>
      </c>
      <c r="G4" s="21">
        <v>1.921</v>
      </c>
      <c r="H4" s="15">
        <v>45748</v>
      </c>
      <c r="I4" s="1" t="s">
        <v>97</v>
      </c>
      <c r="J4" s="1" t="s">
        <v>96</v>
      </c>
      <c r="K4" s="5"/>
      <c r="L4" s="1" t="s">
        <v>90</v>
      </c>
      <c r="M4" s="1" t="s">
        <v>93</v>
      </c>
      <c r="N4" s="1" t="s">
        <v>91</v>
      </c>
      <c r="O4" s="5"/>
      <c r="P4" s="1" t="s">
        <v>103</v>
      </c>
      <c r="Q4" s="7" t="s">
        <v>91</v>
      </c>
      <c r="R4" s="27"/>
      <c r="S4" s="1" t="s">
        <v>91</v>
      </c>
      <c r="T4" s="2" t="s">
        <v>95</v>
      </c>
      <c r="U4" s="5"/>
      <c r="V4" s="1" t="s">
        <v>90</v>
      </c>
      <c r="W4" s="1" t="s">
        <v>111</v>
      </c>
      <c r="X4" s="1" t="s">
        <v>91</v>
      </c>
      <c r="Y4" s="5"/>
      <c r="Z4" s="1">
        <v>1</v>
      </c>
      <c r="AA4" s="1">
        <v>1</v>
      </c>
      <c r="AB4" s="1">
        <v>2</v>
      </c>
      <c r="AC4" s="1">
        <v>2</v>
      </c>
      <c r="AD4" s="1">
        <v>2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3</v>
      </c>
      <c r="AM4" s="1">
        <v>1</v>
      </c>
      <c r="AN4" s="1">
        <v>2</v>
      </c>
      <c r="AO4" s="1">
        <v>3</v>
      </c>
      <c r="AP4" s="1">
        <v>3</v>
      </c>
      <c r="AQ4" s="1">
        <v>3</v>
      </c>
      <c r="AR4" s="1">
        <v>1</v>
      </c>
      <c r="AS4" s="1">
        <v>2</v>
      </c>
      <c r="AT4" s="1">
        <v>3</v>
      </c>
      <c r="AU4" s="1">
        <v>2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4</v>
      </c>
      <c r="BB4" s="1">
        <v>3</v>
      </c>
      <c r="BC4" s="1">
        <v>3</v>
      </c>
      <c r="BD4" s="1">
        <v>3</v>
      </c>
      <c r="BE4" s="1">
        <v>2</v>
      </c>
      <c r="BF4" s="1">
        <v>1</v>
      </c>
      <c r="BG4" s="1">
        <v>1</v>
      </c>
      <c r="BH4" s="1">
        <v>1</v>
      </c>
      <c r="BI4" s="1">
        <v>2</v>
      </c>
      <c r="BJ4" s="1">
        <v>3</v>
      </c>
      <c r="BK4" s="1">
        <v>3</v>
      </c>
      <c r="BL4" s="1">
        <v>1</v>
      </c>
      <c r="BM4" s="1">
        <v>2</v>
      </c>
      <c r="BN4" s="1">
        <v>1</v>
      </c>
      <c r="BO4" s="1">
        <v>3</v>
      </c>
      <c r="BP4" s="1">
        <v>2</v>
      </c>
      <c r="BQ4" s="1">
        <v>1</v>
      </c>
      <c r="BR4" s="1">
        <v>3</v>
      </c>
      <c r="BS4" s="1">
        <v>2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2</v>
      </c>
      <c r="CG4" s="1">
        <v>2</v>
      </c>
      <c r="CH4" s="1">
        <v>1</v>
      </c>
      <c r="CI4" s="1">
        <v>2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</row>
    <row r="5" spans="1:98" ht="15" x14ac:dyDescent="0.25">
      <c r="A5" s="28" t="s">
        <v>126</v>
      </c>
      <c r="B5" s="17">
        <v>77</v>
      </c>
      <c r="C5" s="17">
        <v>83</v>
      </c>
      <c r="D5" s="17">
        <v>78</v>
      </c>
      <c r="E5" s="17">
        <v>79.25</v>
      </c>
      <c r="F5" s="13" t="str">
        <f t="shared" si="0"/>
        <v>PASSED</v>
      </c>
      <c r="G5" s="21">
        <v>1.8485</v>
      </c>
      <c r="H5" s="18">
        <v>45748</v>
      </c>
      <c r="I5" s="7" t="s">
        <v>97</v>
      </c>
      <c r="J5" s="7" t="s">
        <v>96</v>
      </c>
      <c r="K5" s="27"/>
      <c r="L5" s="7" t="s">
        <v>91</v>
      </c>
      <c r="M5" s="27"/>
      <c r="N5" s="7" t="s">
        <v>91</v>
      </c>
      <c r="O5" s="27"/>
      <c r="P5" s="7" t="s">
        <v>99</v>
      </c>
      <c r="Q5" s="3" t="s">
        <v>91</v>
      </c>
      <c r="R5" s="4"/>
      <c r="S5" s="7" t="s">
        <v>91</v>
      </c>
      <c r="T5" s="7" t="s">
        <v>95</v>
      </c>
      <c r="U5" s="27"/>
      <c r="V5" s="7" t="s">
        <v>91</v>
      </c>
      <c r="W5" s="27"/>
      <c r="X5" s="7" t="s">
        <v>91</v>
      </c>
      <c r="Y5" s="27"/>
      <c r="Z5" s="7">
        <v>3</v>
      </c>
      <c r="AA5" s="7">
        <v>2</v>
      </c>
      <c r="AB5" s="7">
        <v>3</v>
      </c>
      <c r="AC5" s="7">
        <v>3</v>
      </c>
      <c r="AD5" s="7">
        <v>3</v>
      </c>
      <c r="AE5" s="7">
        <v>2</v>
      </c>
      <c r="AF5" s="7">
        <v>2</v>
      </c>
      <c r="AG5" s="7">
        <v>3</v>
      </c>
      <c r="AH5" s="7">
        <v>3</v>
      </c>
      <c r="AI5" s="7">
        <v>1</v>
      </c>
      <c r="AJ5" s="7">
        <v>3</v>
      </c>
      <c r="AK5" s="7">
        <v>2</v>
      </c>
      <c r="AL5" s="7">
        <v>3</v>
      </c>
      <c r="AM5" s="7">
        <v>2</v>
      </c>
      <c r="AN5" s="7">
        <v>2</v>
      </c>
      <c r="AO5" s="7">
        <v>3</v>
      </c>
      <c r="AP5" s="7">
        <v>3</v>
      </c>
      <c r="AQ5" s="7">
        <v>3</v>
      </c>
      <c r="AR5" s="7">
        <v>3</v>
      </c>
      <c r="AS5" s="7">
        <v>3</v>
      </c>
      <c r="AT5" s="7">
        <v>3</v>
      </c>
      <c r="AU5" s="7">
        <v>3</v>
      </c>
      <c r="AV5" s="7">
        <v>3</v>
      </c>
      <c r="AW5" s="7">
        <v>3</v>
      </c>
      <c r="AX5" s="7">
        <v>1</v>
      </c>
      <c r="AY5" s="7">
        <v>1</v>
      </c>
      <c r="AZ5" s="7">
        <v>2</v>
      </c>
      <c r="BA5" s="7">
        <v>3</v>
      </c>
      <c r="BB5" s="7">
        <v>3</v>
      </c>
      <c r="BC5" s="7">
        <v>3</v>
      </c>
      <c r="BD5" s="7">
        <v>3</v>
      </c>
      <c r="BE5" s="7">
        <v>3</v>
      </c>
      <c r="BF5" s="7">
        <v>3</v>
      </c>
      <c r="BG5" s="7">
        <v>3</v>
      </c>
      <c r="BH5" s="7">
        <v>3</v>
      </c>
      <c r="BI5" s="7">
        <v>3</v>
      </c>
      <c r="BJ5" s="7">
        <v>3</v>
      </c>
      <c r="BK5" s="7">
        <v>3</v>
      </c>
      <c r="BL5" s="7">
        <v>3</v>
      </c>
      <c r="BM5" s="7">
        <v>3</v>
      </c>
      <c r="BN5" s="7">
        <v>1</v>
      </c>
      <c r="BO5" s="7">
        <v>1</v>
      </c>
      <c r="BP5" s="7">
        <v>2</v>
      </c>
      <c r="BQ5" s="7">
        <v>1</v>
      </c>
      <c r="BR5" s="7">
        <v>3</v>
      </c>
      <c r="BS5" s="7">
        <v>3</v>
      </c>
      <c r="BT5" s="7">
        <v>2</v>
      </c>
      <c r="BU5" s="7">
        <v>2</v>
      </c>
      <c r="BV5" s="7">
        <v>3</v>
      </c>
      <c r="BW5" s="7">
        <v>2</v>
      </c>
      <c r="BX5" s="7">
        <v>3</v>
      </c>
      <c r="BY5" s="7">
        <v>3</v>
      </c>
      <c r="BZ5" s="7">
        <v>3</v>
      </c>
      <c r="CA5" s="7">
        <v>2</v>
      </c>
      <c r="CB5" s="7">
        <v>2</v>
      </c>
      <c r="CC5" s="7">
        <v>3</v>
      </c>
      <c r="CD5" s="7">
        <v>2</v>
      </c>
      <c r="CE5" s="7">
        <v>3</v>
      </c>
      <c r="CF5" s="7">
        <v>3</v>
      </c>
      <c r="CG5" s="7">
        <v>3</v>
      </c>
      <c r="CH5" s="7">
        <v>3</v>
      </c>
      <c r="CI5" s="7">
        <v>3</v>
      </c>
      <c r="CJ5" s="7">
        <v>3</v>
      </c>
      <c r="CK5" s="7">
        <v>3</v>
      </c>
      <c r="CL5" s="7">
        <v>3</v>
      </c>
      <c r="CM5" s="7">
        <v>3</v>
      </c>
      <c r="CN5" s="7">
        <v>3</v>
      </c>
      <c r="CO5" s="7">
        <v>3</v>
      </c>
      <c r="CP5" s="7">
        <v>3</v>
      </c>
      <c r="CQ5" s="7">
        <v>2</v>
      </c>
      <c r="CR5" s="7">
        <v>3</v>
      </c>
      <c r="CS5" s="7">
        <v>3</v>
      </c>
      <c r="CT5" s="7">
        <v>3</v>
      </c>
    </row>
    <row r="6" spans="1:98" ht="15" x14ac:dyDescent="0.25">
      <c r="A6" s="16" t="s">
        <v>127</v>
      </c>
      <c r="B6" s="17">
        <v>60</v>
      </c>
      <c r="C6" s="17">
        <v>80</v>
      </c>
      <c r="D6" s="17">
        <v>72</v>
      </c>
      <c r="E6" s="17">
        <v>71.400000000000006</v>
      </c>
      <c r="F6" s="13" t="str">
        <f t="shared" si="0"/>
        <v>PASSED</v>
      </c>
      <c r="G6" s="21">
        <v>2.0118</v>
      </c>
      <c r="H6" s="18">
        <v>45748</v>
      </c>
      <c r="I6" s="3" t="s">
        <v>101</v>
      </c>
      <c r="J6" s="3" t="s">
        <v>89</v>
      </c>
      <c r="K6" s="3" t="s">
        <v>102</v>
      </c>
      <c r="L6" s="3" t="s">
        <v>91</v>
      </c>
      <c r="M6" s="4"/>
      <c r="N6" s="3" t="s">
        <v>91</v>
      </c>
      <c r="O6" s="4"/>
      <c r="P6" s="3" t="s">
        <v>103</v>
      </c>
      <c r="Q6" s="37" t="s">
        <v>91</v>
      </c>
      <c r="R6" s="38"/>
      <c r="S6" s="3" t="s">
        <v>91</v>
      </c>
      <c r="T6" s="3" t="s">
        <v>115</v>
      </c>
      <c r="U6" s="4"/>
      <c r="V6" s="3" t="s">
        <v>90</v>
      </c>
      <c r="W6" s="3" t="s">
        <v>104</v>
      </c>
      <c r="X6" s="3" t="s">
        <v>91</v>
      </c>
      <c r="Y6" s="4"/>
      <c r="Z6" s="3">
        <v>2</v>
      </c>
      <c r="AA6" s="3">
        <v>1</v>
      </c>
      <c r="AB6" s="3">
        <v>1</v>
      </c>
      <c r="AC6" s="3">
        <v>1</v>
      </c>
      <c r="AD6" s="3">
        <v>2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2</v>
      </c>
      <c r="AN6" s="3">
        <v>2</v>
      </c>
      <c r="AO6" s="3">
        <v>2</v>
      </c>
      <c r="AP6" s="3">
        <v>1</v>
      </c>
      <c r="AQ6" s="3">
        <v>2</v>
      </c>
      <c r="AR6" s="3">
        <v>2</v>
      </c>
      <c r="AS6" s="3">
        <v>2</v>
      </c>
      <c r="AT6" s="3">
        <v>1</v>
      </c>
      <c r="AU6" s="3">
        <v>1</v>
      </c>
      <c r="AV6" s="3">
        <v>2</v>
      </c>
      <c r="AW6" s="3">
        <v>1</v>
      </c>
      <c r="AX6" s="3">
        <v>1</v>
      </c>
      <c r="AY6" s="3">
        <v>1</v>
      </c>
      <c r="AZ6" s="3">
        <v>1</v>
      </c>
      <c r="BA6" s="3">
        <v>2</v>
      </c>
      <c r="BB6" s="3">
        <v>2</v>
      </c>
      <c r="BC6" s="3">
        <v>3</v>
      </c>
      <c r="BD6" s="3">
        <v>3</v>
      </c>
      <c r="BE6" s="3">
        <v>2</v>
      </c>
      <c r="BF6" s="3">
        <v>2</v>
      </c>
      <c r="BG6" s="3">
        <v>1</v>
      </c>
      <c r="BH6" s="3">
        <v>1</v>
      </c>
      <c r="BI6" s="3">
        <v>1</v>
      </c>
      <c r="BJ6" s="3">
        <v>3</v>
      </c>
      <c r="BK6" s="3">
        <v>2</v>
      </c>
      <c r="BL6" s="3">
        <v>2</v>
      </c>
      <c r="BM6" s="3">
        <v>1</v>
      </c>
      <c r="BN6" s="3">
        <v>2</v>
      </c>
      <c r="BO6" s="3">
        <v>2</v>
      </c>
      <c r="BP6" s="3">
        <v>2</v>
      </c>
      <c r="BQ6" s="3">
        <v>2</v>
      </c>
      <c r="BR6" s="3">
        <v>1</v>
      </c>
      <c r="BS6" s="3">
        <v>1</v>
      </c>
      <c r="BT6" s="3">
        <v>3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2</v>
      </c>
      <c r="CG6" s="3">
        <v>2</v>
      </c>
      <c r="CH6" s="3">
        <v>3</v>
      </c>
      <c r="CI6" s="3">
        <v>3</v>
      </c>
      <c r="CJ6" s="3">
        <v>2</v>
      </c>
      <c r="CK6" s="3">
        <v>1</v>
      </c>
      <c r="CL6" s="3">
        <v>1</v>
      </c>
      <c r="CM6" s="3">
        <v>3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</row>
    <row r="7" spans="1:98" ht="15" x14ac:dyDescent="0.25">
      <c r="A7" s="16" t="s">
        <v>128</v>
      </c>
      <c r="B7" s="17">
        <v>86</v>
      </c>
      <c r="C7" s="17">
        <v>89</v>
      </c>
      <c r="D7" s="17">
        <v>88</v>
      </c>
      <c r="E7" s="17">
        <v>87.8</v>
      </c>
      <c r="F7" s="13" t="str">
        <f t="shared" si="0"/>
        <v>PASSED</v>
      </c>
      <c r="G7" s="21">
        <v>1.5118</v>
      </c>
      <c r="H7" s="18">
        <v>45748</v>
      </c>
      <c r="I7" s="7" t="s">
        <v>110</v>
      </c>
      <c r="J7" s="7" t="s">
        <v>89</v>
      </c>
      <c r="K7" s="7" t="s">
        <v>107</v>
      </c>
      <c r="L7" s="7" t="s">
        <v>90</v>
      </c>
      <c r="M7" s="7" t="s">
        <v>93</v>
      </c>
      <c r="N7" s="7" t="s">
        <v>91</v>
      </c>
      <c r="O7" s="27"/>
      <c r="P7" s="39" t="s">
        <v>94</v>
      </c>
      <c r="Q7" s="29" t="s">
        <v>91</v>
      </c>
      <c r="R7" s="24"/>
      <c r="S7" s="31" t="s">
        <v>90</v>
      </c>
      <c r="T7" s="7" t="s">
        <v>115</v>
      </c>
      <c r="U7" s="7" t="s">
        <v>108</v>
      </c>
      <c r="V7" s="7" t="s">
        <v>90</v>
      </c>
      <c r="W7" s="7" t="s">
        <v>92</v>
      </c>
      <c r="X7" s="7" t="s">
        <v>91</v>
      </c>
      <c r="Y7" s="27"/>
      <c r="Z7" s="7">
        <v>2</v>
      </c>
      <c r="AA7" s="7">
        <v>2</v>
      </c>
      <c r="AB7" s="7">
        <v>1</v>
      </c>
      <c r="AC7" s="7">
        <v>2</v>
      </c>
      <c r="AD7" s="7">
        <v>3</v>
      </c>
      <c r="AE7" s="7">
        <v>2</v>
      </c>
      <c r="AF7" s="7">
        <v>2</v>
      </c>
      <c r="AG7" s="7">
        <v>1</v>
      </c>
      <c r="AH7" s="7">
        <v>2</v>
      </c>
      <c r="AI7" s="7">
        <v>2</v>
      </c>
      <c r="AJ7" s="7">
        <v>3</v>
      </c>
      <c r="AK7" s="7">
        <v>2</v>
      </c>
      <c r="AL7" s="7">
        <v>3</v>
      </c>
      <c r="AM7" s="7">
        <v>3</v>
      </c>
      <c r="AN7" s="7">
        <v>1</v>
      </c>
      <c r="AO7" s="7">
        <v>2</v>
      </c>
      <c r="AP7" s="7">
        <v>3</v>
      </c>
      <c r="AQ7" s="7">
        <v>3</v>
      </c>
      <c r="AR7" s="7">
        <v>3</v>
      </c>
      <c r="AS7" s="7">
        <v>3</v>
      </c>
      <c r="AT7" s="7">
        <v>2</v>
      </c>
      <c r="AU7" s="7">
        <v>2</v>
      </c>
      <c r="AV7" s="7">
        <v>2</v>
      </c>
      <c r="AW7" s="7">
        <v>2</v>
      </c>
      <c r="AX7" s="7">
        <v>1</v>
      </c>
      <c r="AY7" s="7">
        <v>2</v>
      </c>
      <c r="AZ7" s="7">
        <v>1</v>
      </c>
      <c r="BA7" s="7">
        <v>3</v>
      </c>
      <c r="BB7" s="7">
        <v>3</v>
      </c>
      <c r="BC7" s="7">
        <v>1</v>
      </c>
      <c r="BD7" s="7">
        <v>3</v>
      </c>
      <c r="BE7" s="7">
        <v>2</v>
      </c>
      <c r="BF7" s="7">
        <v>2</v>
      </c>
      <c r="BG7" s="7">
        <v>3</v>
      </c>
      <c r="BH7" s="7">
        <v>2</v>
      </c>
      <c r="BI7" s="7">
        <v>2</v>
      </c>
      <c r="BJ7" s="7">
        <v>2</v>
      </c>
      <c r="BK7" s="7">
        <v>1</v>
      </c>
      <c r="BL7" s="7">
        <v>3</v>
      </c>
      <c r="BM7" s="7">
        <v>3</v>
      </c>
      <c r="BN7" s="7">
        <v>1</v>
      </c>
      <c r="BO7" s="7">
        <v>1</v>
      </c>
      <c r="BP7" s="7">
        <v>1</v>
      </c>
      <c r="BQ7" s="7">
        <v>2</v>
      </c>
      <c r="BR7" s="7">
        <v>4</v>
      </c>
      <c r="BS7" s="7">
        <v>2</v>
      </c>
      <c r="BT7" s="7">
        <v>2</v>
      </c>
      <c r="BU7" s="7">
        <v>2</v>
      </c>
      <c r="BV7" s="7">
        <v>2</v>
      </c>
      <c r="BW7" s="7">
        <v>2</v>
      </c>
      <c r="BX7" s="7">
        <v>2</v>
      </c>
      <c r="BY7" s="7">
        <v>2</v>
      </c>
      <c r="BZ7" s="7">
        <v>2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2</v>
      </c>
      <c r="CG7" s="7">
        <v>2</v>
      </c>
      <c r="CH7" s="7">
        <v>2</v>
      </c>
      <c r="CI7" s="7">
        <v>2</v>
      </c>
      <c r="CJ7" s="7">
        <v>2</v>
      </c>
      <c r="CK7" s="7">
        <v>2</v>
      </c>
      <c r="CL7" s="7">
        <v>2</v>
      </c>
      <c r="CM7" s="7">
        <v>2</v>
      </c>
      <c r="CN7" s="7">
        <v>3</v>
      </c>
      <c r="CO7" s="7">
        <v>2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</row>
    <row r="8" spans="1:98" ht="15" x14ac:dyDescent="0.25">
      <c r="A8" s="16" t="s">
        <v>129</v>
      </c>
      <c r="B8" s="17">
        <v>63</v>
      </c>
      <c r="C8" s="17">
        <v>78</v>
      </c>
      <c r="D8" s="17">
        <v>78</v>
      </c>
      <c r="E8" s="17">
        <v>74.25</v>
      </c>
      <c r="F8" s="13" t="str">
        <f t="shared" si="0"/>
        <v>PASSED</v>
      </c>
      <c r="G8" s="21">
        <v>2.15</v>
      </c>
      <c r="H8" s="18">
        <v>45748</v>
      </c>
      <c r="I8" s="7" t="s">
        <v>97</v>
      </c>
      <c r="J8" s="7" t="s">
        <v>96</v>
      </c>
      <c r="K8" s="27"/>
      <c r="L8" s="7" t="s">
        <v>90</v>
      </c>
      <c r="M8" s="7" t="s">
        <v>93</v>
      </c>
      <c r="N8" s="7" t="s">
        <v>91</v>
      </c>
      <c r="O8" s="27"/>
      <c r="P8" s="39" t="s">
        <v>99</v>
      </c>
      <c r="Q8" s="29" t="s">
        <v>91</v>
      </c>
      <c r="R8" s="24"/>
      <c r="S8" s="31" t="s">
        <v>91</v>
      </c>
      <c r="T8" s="7" t="s">
        <v>95</v>
      </c>
      <c r="U8" s="27"/>
      <c r="V8" s="7" t="s">
        <v>90</v>
      </c>
      <c r="W8" s="7" t="s">
        <v>105</v>
      </c>
      <c r="X8" s="7" t="s">
        <v>91</v>
      </c>
      <c r="Y8" s="27"/>
      <c r="Z8" s="7">
        <v>2</v>
      </c>
      <c r="AA8" s="7">
        <v>1</v>
      </c>
      <c r="AB8" s="7">
        <v>1</v>
      </c>
      <c r="AC8" s="7">
        <v>2</v>
      </c>
      <c r="AD8" s="7">
        <v>2</v>
      </c>
      <c r="AE8" s="7">
        <v>1</v>
      </c>
      <c r="AF8" s="7">
        <v>1</v>
      </c>
      <c r="AG8" s="7">
        <v>1</v>
      </c>
      <c r="AH8" s="7">
        <v>2</v>
      </c>
      <c r="AI8" s="7">
        <v>1</v>
      </c>
      <c r="AJ8" s="7">
        <v>2</v>
      </c>
      <c r="AK8" s="7">
        <v>2</v>
      </c>
      <c r="AL8" s="7">
        <v>2</v>
      </c>
      <c r="AM8" s="7">
        <v>1</v>
      </c>
      <c r="AN8" s="7">
        <v>2</v>
      </c>
      <c r="AO8" s="7">
        <v>2</v>
      </c>
      <c r="AP8" s="7">
        <v>1</v>
      </c>
      <c r="AQ8" s="7">
        <v>2</v>
      </c>
      <c r="AR8" s="7">
        <v>1</v>
      </c>
      <c r="AS8" s="7">
        <v>2</v>
      </c>
      <c r="AT8" s="7">
        <v>1</v>
      </c>
      <c r="AU8" s="7">
        <v>2</v>
      </c>
      <c r="AV8" s="7">
        <v>2</v>
      </c>
      <c r="AW8" s="7">
        <v>1</v>
      </c>
      <c r="AX8" s="7">
        <v>1</v>
      </c>
      <c r="AY8" s="7">
        <v>1</v>
      </c>
      <c r="AZ8" s="7">
        <v>2</v>
      </c>
      <c r="BA8" s="7">
        <v>3</v>
      </c>
      <c r="BB8" s="7">
        <v>3</v>
      </c>
      <c r="BC8" s="7">
        <v>2</v>
      </c>
      <c r="BD8" s="7">
        <v>1</v>
      </c>
      <c r="BE8" s="7">
        <v>1</v>
      </c>
      <c r="BF8" s="7">
        <v>2</v>
      </c>
      <c r="BG8" s="7">
        <v>1</v>
      </c>
      <c r="BH8" s="7">
        <v>2</v>
      </c>
      <c r="BI8" s="7">
        <v>1</v>
      </c>
      <c r="BJ8" s="7">
        <v>1</v>
      </c>
      <c r="BK8" s="7">
        <v>1</v>
      </c>
      <c r="BL8" s="7">
        <v>2</v>
      </c>
      <c r="BM8" s="7">
        <v>1</v>
      </c>
      <c r="BN8" s="7">
        <v>2</v>
      </c>
      <c r="BO8" s="7">
        <v>2</v>
      </c>
      <c r="BP8" s="7">
        <v>1</v>
      </c>
      <c r="BQ8" s="7">
        <v>1</v>
      </c>
      <c r="BR8" s="7">
        <v>2</v>
      </c>
      <c r="BS8" s="7">
        <v>1</v>
      </c>
      <c r="BT8" s="7">
        <v>1</v>
      </c>
      <c r="BU8" s="7">
        <v>1</v>
      </c>
      <c r="BV8" s="7">
        <v>1</v>
      </c>
      <c r="BW8" s="7">
        <v>2</v>
      </c>
      <c r="BX8" s="7">
        <v>1</v>
      </c>
      <c r="BY8" s="7">
        <v>1</v>
      </c>
      <c r="BZ8" s="7">
        <v>1</v>
      </c>
      <c r="CA8" s="7">
        <v>1</v>
      </c>
      <c r="CB8" s="7">
        <v>2</v>
      </c>
      <c r="CC8" s="7">
        <v>2</v>
      </c>
      <c r="CD8" s="7">
        <v>1</v>
      </c>
      <c r="CE8" s="7">
        <v>1</v>
      </c>
      <c r="CF8" s="7">
        <v>2</v>
      </c>
      <c r="CG8" s="7">
        <v>2</v>
      </c>
      <c r="CH8" s="7">
        <v>2</v>
      </c>
      <c r="CI8" s="7">
        <v>3</v>
      </c>
      <c r="CJ8" s="7">
        <v>1</v>
      </c>
      <c r="CK8" s="7">
        <v>2</v>
      </c>
      <c r="CL8" s="7">
        <v>1</v>
      </c>
      <c r="CM8" s="7">
        <v>2</v>
      </c>
      <c r="CN8" s="7">
        <v>2</v>
      </c>
      <c r="CO8" s="7">
        <v>2</v>
      </c>
      <c r="CP8" s="7">
        <v>2</v>
      </c>
      <c r="CQ8" s="7">
        <v>1</v>
      </c>
      <c r="CR8" s="7">
        <v>1</v>
      </c>
      <c r="CS8" s="7">
        <v>2</v>
      </c>
      <c r="CT8" s="7">
        <v>2</v>
      </c>
    </row>
    <row r="9" spans="1:98" ht="12.75" x14ac:dyDescent="0.2">
      <c r="A9" s="16" t="s">
        <v>132</v>
      </c>
      <c r="B9" s="17">
        <v>38</v>
      </c>
      <c r="C9" s="17">
        <v>48</v>
      </c>
      <c r="D9" s="17">
        <v>49</v>
      </c>
      <c r="E9" s="17">
        <v>45.95</v>
      </c>
      <c r="F9" s="13" t="s">
        <v>122</v>
      </c>
      <c r="G9" s="14">
        <v>1.5349999999999999</v>
      </c>
      <c r="H9" s="15">
        <v>45748</v>
      </c>
      <c r="I9" s="19" t="s">
        <v>106</v>
      </c>
      <c r="J9" s="7" t="s">
        <v>89</v>
      </c>
      <c r="K9" s="7" t="s">
        <v>107</v>
      </c>
      <c r="L9" s="3" t="s">
        <v>91</v>
      </c>
      <c r="M9" s="29"/>
      <c r="N9" s="19" t="s">
        <v>90</v>
      </c>
      <c r="O9" s="19" t="s">
        <v>148</v>
      </c>
      <c r="P9" s="19" t="s">
        <v>94</v>
      </c>
      <c r="Q9" s="29" t="s">
        <v>91</v>
      </c>
      <c r="R9" s="24"/>
      <c r="S9" s="31" t="s">
        <v>90</v>
      </c>
      <c r="T9" s="7" t="s">
        <v>115</v>
      </c>
      <c r="U9" s="24"/>
      <c r="V9" s="3" t="s">
        <v>90</v>
      </c>
      <c r="W9" s="7" t="s">
        <v>105</v>
      </c>
      <c r="X9" s="1" t="s">
        <v>91</v>
      </c>
      <c r="Y9" s="24"/>
      <c r="Z9" s="7">
        <v>3</v>
      </c>
      <c r="AA9" s="7">
        <v>2</v>
      </c>
      <c r="AB9" s="7">
        <v>3</v>
      </c>
      <c r="AC9" s="7">
        <v>3</v>
      </c>
      <c r="AD9" s="7">
        <v>3</v>
      </c>
      <c r="AE9" s="7">
        <v>2</v>
      </c>
      <c r="AF9" s="7">
        <v>2</v>
      </c>
      <c r="AG9" s="7">
        <v>3</v>
      </c>
      <c r="AH9" s="7">
        <v>3</v>
      </c>
      <c r="AI9" s="7">
        <v>2</v>
      </c>
      <c r="AJ9" s="7">
        <v>3</v>
      </c>
      <c r="AK9" s="7">
        <v>2</v>
      </c>
      <c r="AL9" s="7">
        <v>3</v>
      </c>
      <c r="AM9" s="7">
        <v>2</v>
      </c>
      <c r="AN9" s="7">
        <v>3</v>
      </c>
      <c r="AO9" s="7">
        <v>3</v>
      </c>
      <c r="AP9" s="7">
        <v>2</v>
      </c>
      <c r="AQ9" s="7">
        <v>2</v>
      </c>
      <c r="AR9" s="7">
        <v>2</v>
      </c>
      <c r="AS9" s="7">
        <v>3</v>
      </c>
      <c r="AT9" s="7">
        <v>3</v>
      </c>
      <c r="AU9" s="7">
        <v>3</v>
      </c>
      <c r="AV9" s="7">
        <v>3</v>
      </c>
      <c r="AW9" s="7">
        <v>2</v>
      </c>
      <c r="AX9" s="7">
        <v>4</v>
      </c>
      <c r="AY9" s="7">
        <v>1</v>
      </c>
      <c r="AZ9" s="7">
        <v>1</v>
      </c>
      <c r="BA9" s="7">
        <v>1</v>
      </c>
      <c r="BB9" s="7">
        <v>2</v>
      </c>
      <c r="BC9" s="7">
        <v>3</v>
      </c>
      <c r="BD9" s="7">
        <v>3</v>
      </c>
      <c r="BE9" s="7">
        <v>3</v>
      </c>
      <c r="BF9" s="7">
        <v>3</v>
      </c>
      <c r="BG9" s="7">
        <v>3</v>
      </c>
      <c r="BH9" s="7">
        <v>3</v>
      </c>
      <c r="BI9" s="7">
        <v>3</v>
      </c>
      <c r="BJ9" s="7">
        <v>3</v>
      </c>
      <c r="BK9" s="7">
        <v>3</v>
      </c>
      <c r="BL9" s="7">
        <v>3</v>
      </c>
      <c r="BM9" s="7">
        <v>3</v>
      </c>
      <c r="BN9" s="7">
        <v>1</v>
      </c>
      <c r="BO9" s="7">
        <v>1</v>
      </c>
      <c r="BP9" s="7">
        <v>2</v>
      </c>
      <c r="BQ9" s="7">
        <v>1</v>
      </c>
      <c r="BR9" s="7">
        <v>3</v>
      </c>
      <c r="BS9" s="7">
        <v>3</v>
      </c>
      <c r="BT9" s="7">
        <v>2</v>
      </c>
      <c r="BU9" s="7">
        <v>2</v>
      </c>
      <c r="BV9" s="7">
        <v>3</v>
      </c>
      <c r="BW9" s="7">
        <v>2</v>
      </c>
      <c r="BX9" s="7">
        <v>3</v>
      </c>
      <c r="BY9" s="7">
        <v>3</v>
      </c>
      <c r="BZ9" s="7">
        <v>3</v>
      </c>
      <c r="CA9" s="7">
        <v>2</v>
      </c>
      <c r="CB9" s="7">
        <v>2</v>
      </c>
      <c r="CC9" s="7">
        <v>2</v>
      </c>
      <c r="CD9" s="7">
        <v>2</v>
      </c>
      <c r="CE9" s="7">
        <v>2</v>
      </c>
      <c r="CF9" s="7">
        <v>2</v>
      </c>
      <c r="CG9" s="7">
        <v>2</v>
      </c>
      <c r="CH9" s="7">
        <v>2</v>
      </c>
      <c r="CI9" s="7">
        <v>2</v>
      </c>
      <c r="CJ9" s="7">
        <v>2</v>
      </c>
      <c r="CK9" s="7">
        <v>2</v>
      </c>
      <c r="CL9" s="7">
        <v>2</v>
      </c>
      <c r="CM9" s="7">
        <v>2</v>
      </c>
      <c r="CN9" s="7">
        <v>2</v>
      </c>
      <c r="CO9" s="7">
        <v>2</v>
      </c>
      <c r="CP9" s="7">
        <v>2</v>
      </c>
      <c r="CQ9" s="7">
        <v>2</v>
      </c>
      <c r="CR9" s="7">
        <v>2</v>
      </c>
      <c r="CS9" s="7">
        <v>3</v>
      </c>
      <c r="CT9" s="7">
        <v>3</v>
      </c>
    </row>
    <row r="10" spans="1:98" ht="15" x14ac:dyDescent="0.25">
      <c r="A10" s="16" t="s">
        <v>130</v>
      </c>
      <c r="B10" s="17">
        <v>53</v>
      </c>
      <c r="C10" s="17">
        <v>63</v>
      </c>
      <c r="D10" s="17">
        <v>45</v>
      </c>
      <c r="E10" s="17">
        <v>52.4</v>
      </c>
      <c r="F10" s="13" t="s">
        <v>122</v>
      </c>
      <c r="G10" s="20">
        <v>2.0747</v>
      </c>
      <c r="H10" s="15">
        <v>45748</v>
      </c>
      <c r="I10" s="7" t="s">
        <v>110</v>
      </c>
      <c r="J10" s="7" t="s">
        <v>96</v>
      </c>
      <c r="K10" s="24"/>
      <c r="L10" s="3" t="s">
        <v>91</v>
      </c>
      <c r="M10" s="29"/>
      <c r="N10" s="7" t="s">
        <v>91</v>
      </c>
      <c r="O10" s="24"/>
      <c r="P10" s="19" t="s">
        <v>94</v>
      </c>
      <c r="Q10" s="29" t="s">
        <v>91</v>
      </c>
      <c r="R10" s="24"/>
      <c r="S10" s="31" t="s">
        <v>90</v>
      </c>
      <c r="T10" s="7" t="s">
        <v>115</v>
      </c>
      <c r="U10" s="29" t="s">
        <v>145</v>
      </c>
      <c r="V10" s="7" t="s">
        <v>90</v>
      </c>
      <c r="W10" s="7" t="s">
        <v>92</v>
      </c>
      <c r="X10" s="7" t="s">
        <v>91</v>
      </c>
      <c r="Y10" s="24"/>
      <c r="Z10" s="29">
        <v>1</v>
      </c>
      <c r="AA10" s="29">
        <v>2</v>
      </c>
      <c r="AB10" s="29">
        <v>1</v>
      </c>
      <c r="AC10" s="7">
        <v>2</v>
      </c>
      <c r="AD10" s="7">
        <v>3</v>
      </c>
      <c r="AE10" s="7">
        <v>2</v>
      </c>
      <c r="AF10" s="7">
        <v>2</v>
      </c>
      <c r="AG10" s="7">
        <v>1</v>
      </c>
      <c r="AH10" s="7">
        <v>2</v>
      </c>
      <c r="AI10" s="29">
        <v>2</v>
      </c>
      <c r="AJ10" s="29">
        <v>3</v>
      </c>
      <c r="AK10" s="7">
        <v>3</v>
      </c>
      <c r="AL10" s="7">
        <v>3</v>
      </c>
      <c r="AM10" s="7">
        <v>3</v>
      </c>
      <c r="AN10" s="7">
        <v>1</v>
      </c>
      <c r="AO10" s="7">
        <v>2</v>
      </c>
      <c r="AP10" s="7">
        <v>3</v>
      </c>
      <c r="AQ10" s="7">
        <v>3</v>
      </c>
      <c r="AR10" s="7">
        <v>3</v>
      </c>
      <c r="AS10" s="7">
        <v>3</v>
      </c>
      <c r="AT10" s="7">
        <v>2</v>
      </c>
      <c r="AU10" s="7">
        <v>2</v>
      </c>
      <c r="AV10" s="7">
        <v>2</v>
      </c>
      <c r="AW10" s="7">
        <v>2</v>
      </c>
      <c r="AX10" s="7">
        <v>1</v>
      </c>
      <c r="AY10" s="7">
        <v>2</v>
      </c>
      <c r="AZ10" s="7">
        <v>1</v>
      </c>
      <c r="BA10" s="7">
        <v>3</v>
      </c>
      <c r="BB10" s="7">
        <v>3</v>
      </c>
      <c r="BC10" s="7">
        <v>1</v>
      </c>
      <c r="BD10" s="7">
        <v>3</v>
      </c>
      <c r="BE10" s="7">
        <v>2</v>
      </c>
      <c r="BF10" s="7">
        <v>2</v>
      </c>
      <c r="BG10" s="7">
        <v>3</v>
      </c>
      <c r="BH10" s="7">
        <v>2</v>
      </c>
      <c r="BI10" s="7">
        <v>2</v>
      </c>
      <c r="BJ10" s="7">
        <v>2</v>
      </c>
      <c r="BK10" s="7">
        <v>1</v>
      </c>
      <c r="BL10" s="7">
        <v>3</v>
      </c>
      <c r="BM10" s="7">
        <v>3</v>
      </c>
      <c r="BN10" s="7">
        <v>1</v>
      </c>
      <c r="BO10" s="7">
        <v>1</v>
      </c>
      <c r="BP10" s="7">
        <v>1</v>
      </c>
      <c r="BQ10" s="7">
        <v>2</v>
      </c>
      <c r="BR10" s="7">
        <v>4</v>
      </c>
      <c r="BS10" s="7">
        <v>2</v>
      </c>
      <c r="BT10" s="7">
        <v>2</v>
      </c>
      <c r="BU10" s="7">
        <v>2</v>
      </c>
      <c r="BV10" s="7">
        <v>2</v>
      </c>
      <c r="BW10" s="7">
        <v>2</v>
      </c>
      <c r="BX10" s="7">
        <v>2</v>
      </c>
      <c r="BY10" s="7">
        <v>2</v>
      </c>
      <c r="BZ10" s="7">
        <v>2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2</v>
      </c>
      <c r="CG10" s="7">
        <v>2</v>
      </c>
      <c r="CH10" s="7">
        <v>2</v>
      </c>
      <c r="CI10" s="7">
        <v>2</v>
      </c>
      <c r="CJ10" s="7">
        <v>2</v>
      </c>
      <c r="CK10" s="7">
        <v>2</v>
      </c>
      <c r="CL10" s="7">
        <v>2</v>
      </c>
      <c r="CM10" s="7">
        <v>2</v>
      </c>
      <c r="CN10" s="7">
        <v>3</v>
      </c>
      <c r="CO10" s="7">
        <v>2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</row>
    <row r="11" spans="1:98" ht="12.75" x14ac:dyDescent="0.2">
      <c r="A11" s="16" t="s">
        <v>133</v>
      </c>
      <c r="B11" s="17">
        <v>71</v>
      </c>
      <c r="C11" s="17">
        <v>77</v>
      </c>
      <c r="D11" s="17">
        <v>60</v>
      </c>
      <c r="E11" s="17">
        <v>67.849999999999994</v>
      </c>
      <c r="F11" s="13" t="s">
        <v>122</v>
      </c>
      <c r="G11" s="13">
        <v>1.982</v>
      </c>
      <c r="H11" s="18">
        <v>45748</v>
      </c>
      <c r="I11" s="7" t="s">
        <v>97</v>
      </c>
      <c r="J11" s="7" t="s">
        <v>96</v>
      </c>
      <c r="K11" s="24"/>
      <c r="L11" s="3" t="s">
        <v>91</v>
      </c>
      <c r="M11" s="29"/>
      <c r="N11" s="7" t="s">
        <v>91</v>
      </c>
      <c r="O11" s="24"/>
      <c r="P11" s="40" t="s">
        <v>103</v>
      </c>
      <c r="Q11" s="29" t="s">
        <v>91</v>
      </c>
      <c r="R11" s="24"/>
      <c r="S11" s="31" t="s">
        <v>90</v>
      </c>
      <c r="T11" s="7" t="s">
        <v>115</v>
      </c>
      <c r="U11" s="29" t="s">
        <v>145</v>
      </c>
      <c r="V11" s="3" t="s">
        <v>91</v>
      </c>
      <c r="W11" s="29"/>
      <c r="X11" s="7" t="s">
        <v>91</v>
      </c>
      <c r="Y11" s="24"/>
      <c r="Z11" s="29">
        <v>1</v>
      </c>
      <c r="AA11" s="29">
        <v>2</v>
      </c>
      <c r="AB11" s="29">
        <v>1</v>
      </c>
      <c r="AC11" s="7">
        <v>2</v>
      </c>
      <c r="AD11" s="7">
        <v>2</v>
      </c>
      <c r="AE11" s="7">
        <v>1</v>
      </c>
      <c r="AF11" s="7">
        <v>1</v>
      </c>
      <c r="AG11" s="7">
        <v>1</v>
      </c>
      <c r="AH11" s="7">
        <v>2</v>
      </c>
      <c r="AI11" s="29">
        <v>2</v>
      </c>
      <c r="AJ11" s="29">
        <v>2</v>
      </c>
      <c r="AK11" s="7">
        <v>2</v>
      </c>
      <c r="AL11" s="7">
        <v>3</v>
      </c>
      <c r="AM11" s="7">
        <v>3</v>
      </c>
      <c r="AN11" s="7">
        <v>1</v>
      </c>
      <c r="AO11" s="7">
        <v>2</v>
      </c>
      <c r="AP11" s="7">
        <v>3</v>
      </c>
      <c r="AQ11" s="7">
        <v>3</v>
      </c>
      <c r="AR11" s="7">
        <v>3</v>
      </c>
      <c r="AS11" s="7">
        <v>3</v>
      </c>
      <c r="AT11" s="7">
        <v>2</v>
      </c>
      <c r="AU11" s="7">
        <v>2</v>
      </c>
      <c r="AV11" s="7">
        <v>2</v>
      </c>
      <c r="AW11" s="7">
        <v>2</v>
      </c>
      <c r="AX11" s="7">
        <v>1</v>
      </c>
      <c r="AY11" s="7">
        <v>2</v>
      </c>
      <c r="AZ11" s="7">
        <v>1</v>
      </c>
      <c r="BA11" s="7">
        <v>3</v>
      </c>
      <c r="BB11" s="7">
        <v>3</v>
      </c>
      <c r="BC11" s="7">
        <v>1</v>
      </c>
      <c r="BD11" s="7">
        <v>3</v>
      </c>
      <c r="BE11" s="7">
        <v>2</v>
      </c>
      <c r="BF11" s="7">
        <v>2</v>
      </c>
      <c r="BG11" s="7">
        <v>3</v>
      </c>
      <c r="BH11" s="7">
        <v>2</v>
      </c>
      <c r="BI11" s="7">
        <v>2</v>
      </c>
      <c r="BJ11" s="7">
        <v>2</v>
      </c>
      <c r="BK11" s="7">
        <v>1</v>
      </c>
      <c r="BL11" s="7">
        <v>3</v>
      </c>
      <c r="BM11" s="7">
        <v>3</v>
      </c>
      <c r="BN11" s="7">
        <v>1</v>
      </c>
      <c r="BO11" s="7">
        <v>1</v>
      </c>
      <c r="BP11" s="7">
        <v>1</v>
      </c>
      <c r="BQ11" s="7">
        <v>2</v>
      </c>
      <c r="BR11" s="7">
        <v>4</v>
      </c>
      <c r="BS11" s="7">
        <v>2</v>
      </c>
      <c r="BT11" s="7">
        <v>2</v>
      </c>
      <c r="BU11" s="7">
        <v>2</v>
      </c>
      <c r="BV11" s="7">
        <v>2</v>
      </c>
      <c r="BW11" s="7">
        <v>2</v>
      </c>
      <c r="BX11" s="7">
        <v>2</v>
      </c>
      <c r="BY11" s="7">
        <v>2</v>
      </c>
      <c r="BZ11" s="7">
        <v>2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2</v>
      </c>
      <c r="CG11" s="7">
        <v>2</v>
      </c>
      <c r="CH11" s="7">
        <v>2</v>
      </c>
      <c r="CI11" s="7">
        <v>2</v>
      </c>
      <c r="CJ11" s="7">
        <v>2</v>
      </c>
      <c r="CK11" s="7">
        <v>2</v>
      </c>
      <c r="CL11" s="7">
        <v>2</v>
      </c>
      <c r="CM11" s="7">
        <v>2</v>
      </c>
      <c r="CN11" s="7">
        <v>3</v>
      </c>
      <c r="CO11" s="7">
        <v>2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</row>
    <row r="12" spans="1:98" ht="15" x14ac:dyDescent="0.25">
      <c r="A12" s="22" t="s">
        <v>136</v>
      </c>
      <c r="B12" s="23">
        <v>49</v>
      </c>
      <c r="C12" s="23">
        <v>71</v>
      </c>
      <c r="D12" s="23">
        <v>57</v>
      </c>
      <c r="E12" s="17">
        <v>59.2</v>
      </c>
      <c r="F12" s="13" t="s">
        <v>122</v>
      </c>
      <c r="G12" s="20">
        <v>2.0137999999999998</v>
      </c>
      <c r="H12" s="15">
        <v>45870</v>
      </c>
      <c r="I12" s="7" t="s">
        <v>97</v>
      </c>
      <c r="J12" s="7" t="s">
        <v>96</v>
      </c>
      <c r="K12" s="3"/>
      <c r="L12" s="3" t="s">
        <v>91</v>
      </c>
      <c r="M12" s="29"/>
      <c r="N12" s="7" t="s">
        <v>91</v>
      </c>
      <c r="O12" s="24"/>
      <c r="P12" s="39" t="s">
        <v>99</v>
      </c>
      <c r="Q12" s="29" t="s">
        <v>91</v>
      </c>
      <c r="R12" s="24"/>
      <c r="S12" s="31" t="s">
        <v>91</v>
      </c>
      <c r="T12" s="7" t="s">
        <v>115</v>
      </c>
      <c r="U12" s="24"/>
      <c r="V12" s="7" t="s">
        <v>90</v>
      </c>
      <c r="W12" s="29" t="s">
        <v>98</v>
      </c>
      <c r="X12" s="7" t="s">
        <v>91</v>
      </c>
      <c r="Y12" s="24"/>
      <c r="Z12" s="29">
        <v>1</v>
      </c>
      <c r="AA12" s="29">
        <v>3</v>
      </c>
      <c r="AB12" s="29">
        <v>3</v>
      </c>
      <c r="AC12" s="7">
        <v>2</v>
      </c>
      <c r="AD12" s="7">
        <v>3</v>
      </c>
      <c r="AE12" s="7">
        <v>2</v>
      </c>
      <c r="AF12" s="7">
        <v>2</v>
      </c>
      <c r="AG12" s="7">
        <v>1</v>
      </c>
      <c r="AH12" s="7">
        <v>2</v>
      </c>
      <c r="AI12" s="29">
        <v>2</v>
      </c>
      <c r="AJ12" s="29">
        <v>2</v>
      </c>
      <c r="AK12" s="29">
        <v>3</v>
      </c>
      <c r="AL12" s="29">
        <v>3</v>
      </c>
      <c r="AM12" s="29">
        <v>2</v>
      </c>
      <c r="AN12" s="29">
        <v>3</v>
      </c>
      <c r="AO12" s="29">
        <v>2</v>
      </c>
      <c r="AP12" s="29">
        <v>3</v>
      </c>
      <c r="AQ12" s="29">
        <v>2</v>
      </c>
      <c r="AR12" s="29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4</v>
      </c>
      <c r="AY12" s="7">
        <v>1</v>
      </c>
      <c r="AZ12" s="7">
        <v>1</v>
      </c>
      <c r="BA12" s="7">
        <v>1</v>
      </c>
      <c r="BB12" s="7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4</v>
      </c>
      <c r="BM12" s="3">
        <v>1</v>
      </c>
      <c r="BN12" s="3">
        <v>1</v>
      </c>
      <c r="BO12" s="7">
        <v>1</v>
      </c>
      <c r="BP12" s="7">
        <v>1</v>
      </c>
      <c r="BQ12" s="7">
        <v>1</v>
      </c>
      <c r="BR12" s="7">
        <v>3</v>
      </c>
      <c r="BS12" s="7">
        <v>2</v>
      </c>
      <c r="BT12" s="7">
        <v>1</v>
      </c>
      <c r="BU12" s="7">
        <v>3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2</v>
      </c>
      <c r="CB12" s="7">
        <v>2</v>
      </c>
      <c r="CC12" s="7">
        <v>3</v>
      </c>
      <c r="CD12" s="7">
        <v>1</v>
      </c>
      <c r="CE12" s="7">
        <v>3</v>
      </c>
      <c r="CF12" s="7">
        <v>1</v>
      </c>
      <c r="CG12" s="7">
        <v>2</v>
      </c>
      <c r="CH12" s="7">
        <v>3</v>
      </c>
      <c r="CI12" s="7">
        <v>2</v>
      </c>
      <c r="CJ12" s="7">
        <v>3</v>
      </c>
      <c r="CK12" s="7">
        <v>1</v>
      </c>
      <c r="CL12" s="7">
        <v>3</v>
      </c>
      <c r="CM12" s="7">
        <v>1</v>
      </c>
      <c r="CN12" s="7">
        <v>2</v>
      </c>
      <c r="CO12" s="7">
        <v>3</v>
      </c>
      <c r="CP12" s="7">
        <v>3</v>
      </c>
      <c r="CQ12" s="7">
        <v>3</v>
      </c>
      <c r="CR12" s="7">
        <v>2</v>
      </c>
      <c r="CS12" s="7">
        <v>2</v>
      </c>
      <c r="CT12" s="7">
        <v>2</v>
      </c>
    </row>
    <row r="13" spans="1:98" ht="15" x14ac:dyDescent="0.25">
      <c r="A13" s="22" t="s">
        <v>140</v>
      </c>
      <c r="B13" s="23">
        <v>59</v>
      </c>
      <c r="C13" s="23">
        <v>69</v>
      </c>
      <c r="D13" s="23">
        <v>62</v>
      </c>
      <c r="E13" s="17">
        <v>63.35</v>
      </c>
      <c r="F13" s="13" t="s">
        <v>122</v>
      </c>
      <c r="G13" s="21">
        <v>1.8</v>
      </c>
      <c r="H13" s="18">
        <v>45870</v>
      </c>
      <c r="I13" s="7" t="s">
        <v>110</v>
      </c>
      <c r="J13" s="7" t="s">
        <v>96</v>
      </c>
      <c r="K13" s="24"/>
      <c r="L13" s="7" t="s">
        <v>90</v>
      </c>
      <c r="M13" s="29" t="s">
        <v>109</v>
      </c>
      <c r="N13" s="7" t="s">
        <v>91</v>
      </c>
      <c r="O13" s="24"/>
      <c r="P13" s="41" t="s">
        <v>103</v>
      </c>
      <c r="Q13" s="29" t="s">
        <v>91</v>
      </c>
      <c r="R13" s="24"/>
      <c r="S13" s="31" t="s">
        <v>91</v>
      </c>
      <c r="T13" s="7" t="s">
        <v>95</v>
      </c>
      <c r="U13" s="24"/>
      <c r="V13" s="3" t="s">
        <v>91</v>
      </c>
      <c r="W13" s="29"/>
      <c r="X13" s="7" t="s">
        <v>91</v>
      </c>
      <c r="Y13" s="24"/>
      <c r="Z13" s="29">
        <v>1</v>
      </c>
      <c r="AA13" s="29">
        <v>2</v>
      </c>
      <c r="AB13" s="29">
        <v>3</v>
      </c>
      <c r="AC13" s="7">
        <v>2</v>
      </c>
      <c r="AD13" s="7">
        <v>2</v>
      </c>
      <c r="AE13" s="7">
        <v>1</v>
      </c>
      <c r="AF13" s="7">
        <v>1</v>
      </c>
      <c r="AG13" s="7">
        <v>1</v>
      </c>
      <c r="AH13" s="7">
        <v>2</v>
      </c>
      <c r="AI13" s="29">
        <v>2</v>
      </c>
      <c r="AJ13" s="29">
        <v>2</v>
      </c>
      <c r="AK13" s="29">
        <v>2</v>
      </c>
      <c r="AL13" s="7">
        <v>3</v>
      </c>
      <c r="AM13" s="7">
        <v>2</v>
      </c>
      <c r="AN13" s="7">
        <v>2</v>
      </c>
      <c r="AO13" s="7">
        <v>3</v>
      </c>
      <c r="AP13" s="7">
        <v>3</v>
      </c>
      <c r="AQ13" s="7">
        <v>3</v>
      </c>
      <c r="AR13" s="7">
        <v>3</v>
      </c>
      <c r="AS13" s="7">
        <v>3</v>
      </c>
      <c r="AT13" s="7">
        <v>3</v>
      </c>
      <c r="AU13" s="7">
        <v>3</v>
      </c>
      <c r="AV13" s="7">
        <v>3</v>
      </c>
      <c r="AW13" s="7">
        <v>3</v>
      </c>
      <c r="AX13" s="7">
        <v>1</v>
      </c>
      <c r="AY13" s="7">
        <v>1</v>
      </c>
      <c r="AZ13" s="7">
        <v>2</v>
      </c>
      <c r="BA13" s="7">
        <v>3</v>
      </c>
      <c r="BB13" s="7">
        <v>3</v>
      </c>
      <c r="BC13" s="7">
        <v>3</v>
      </c>
      <c r="BD13" s="7">
        <v>3</v>
      </c>
      <c r="BE13" s="7">
        <v>3</v>
      </c>
      <c r="BF13" s="7">
        <v>3</v>
      </c>
      <c r="BG13" s="7">
        <v>3</v>
      </c>
      <c r="BH13" s="7">
        <v>3</v>
      </c>
      <c r="BI13" s="7">
        <v>3</v>
      </c>
      <c r="BJ13" s="7">
        <v>3</v>
      </c>
      <c r="BK13" s="7">
        <v>3</v>
      </c>
      <c r="BL13" s="7">
        <v>3</v>
      </c>
      <c r="BM13" s="7">
        <v>3</v>
      </c>
      <c r="BN13" s="7">
        <v>1</v>
      </c>
      <c r="BO13" s="7">
        <v>1</v>
      </c>
      <c r="BP13" s="7">
        <v>2</v>
      </c>
      <c r="BQ13" s="7">
        <v>1</v>
      </c>
      <c r="BR13" s="7">
        <v>3</v>
      </c>
      <c r="BS13" s="7">
        <v>3</v>
      </c>
      <c r="BT13" s="7">
        <v>2</v>
      </c>
      <c r="BU13" s="7">
        <v>2</v>
      </c>
      <c r="BV13" s="7">
        <v>3</v>
      </c>
      <c r="BW13" s="7">
        <v>2</v>
      </c>
      <c r="BX13" s="7">
        <v>3</v>
      </c>
      <c r="BY13" s="7">
        <v>3</v>
      </c>
      <c r="BZ13" s="7">
        <v>3</v>
      </c>
      <c r="CA13" s="7">
        <v>2</v>
      </c>
      <c r="CB13" s="7">
        <v>2</v>
      </c>
      <c r="CC13" s="7">
        <v>3</v>
      </c>
      <c r="CD13" s="7">
        <v>2</v>
      </c>
      <c r="CE13" s="7">
        <v>3</v>
      </c>
      <c r="CF13" s="7">
        <v>3</v>
      </c>
      <c r="CG13" s="7">
        <v>3</v>
      </c>
      <c r="CH13" s="7">
        <v>3</v>
      </c>
      <c r="CI13" s="7">
        <v>3</v>
      </c>
      <c r="CJ13" s="7">
        <v>3</v>
      </c>
      <c r="CK13" s="7">
        <v>3</v>
      </c>
      <c r="CL13" s="7">
        <v>3</v>
      </c>
      <c r="CM13" s="7">
        <v>3</v>
      </c>
      <c r="CN13" s="7">
        <v>3</v>
      </c>
      <c r="CO13" s="7">
        <v>3</v>
      </c>
      <c r="CP13" s="7">
        <v>3</v>
      </c>
      <c r="CQ13" s="7">
        <v>2</v>
      </c>
      <c r="CR13" s="7">
        <v>3</v>
      </c>
      <c r="CS13" s="7">
        <v>3</v>
      </c>
      <c r="CT13" s="7">
        <v>3</v>
      </c>
    </row>
    <row r="14" spans="1:98" ht="15" x14ac:dyDescent="0.25">
      <c r="A14" s="16" t="s">
        <v>112</v>
      </c>
      <c r="B14" s="17">
        <v>63</v>
      </c>
      <c r="C14" s="17">
        <v>64</v>
      </c>
      <c r="D14" s="17">
        <v>67</v>
      </c>
      <c r="E14" s="17">
        <v>65.099999999999994</v>
      </c>
      <c r="F14" s="13" t="s">
        <v>122</v>
      </c>
      <c r="G14" s="21">
        <v>2.0720000000000001</v>
      </c>
      <c r="H14" s="18">
        <v>45870</v>
      </c>
      <c r="I14" s="7" t="s">
        <v>97</v>
      </c>
      <c r="J14" s="7" t="s">
        <v>96</v>
      </c>
      <c r="K14" s="24"/>
      <c r="L14" s="3" t="s">
        <v>91</v>
      </c>
      <c r="M14" s="29"/>
      <c r="N14" s="7" t="s">
        <v>91</v>
      </c>
      <c r="O14" s="24"/>
      <c r="P14" s="19" t="s">
        <v>94</v>
      </c>
      <c r="Q14" s="29" t="s">
        <v>91</v>
      </c>
      <c r="R14" s="24"/>
      <c r="S14" s="31" t="s">
        <v>91</v>
      </c>
      <c r="T14" s="7" t="s">
        <v>95</v>
      </c>
      <c r="U14" s="30"/>
      <c r="V14" s="3" t="s">
        <v>91</v>
      </c>
      <c r="W14" s="29"/>
      <c r="X14" s="1" t="s">
        <v>91</v>
      </c>
      <c r="Y14" s="24"/>
      <c r="Z14" s="29">
        <v>1</v>
      </c>
      <c r="AA14" s="29">
        <v>2</v>
      </c>
      <c r="AB14" s="29">
        <v>3</v>
      </c>
      <c r="AC14" s="7">
        <v>3</v>
      </c>
      <c r="AD14" s="7">
        <v>3</v>
      </c>
      <c r="AE14" s="7">
        <v>2</v>
      </c>
      <c r="AF14" s="7">
        <v>2</v>
      </c>
      <c r="AG14" s="7">
        <v>3</v>
      </c>
      <c r="AH14" s="7">
        <v>3</v>
      </c>
      <c r="AI14" s="29">
        <v>2</v>
      </c>
      <c r="AJ14" s="29">
        <v>2</v>
      </c>
      <c r="AK14" s="29">
        <v>2</v>
      </c>
      <c r="AL14" s="7">
        <v>3</v>
      </c>
      <c r="AM14" s="7">
        <v>2</v>
      </c>
      <c r="AN14" s="7">
        <v>2</v>
      </c>
      <c r="AO14" s="7">
        <v>3</v>
      </c>
      <c r="AP14" s="7">
        <v>3</v>
      </c>
      <c r="AQ14" s="7">
        <v>3</v>
      </c>
      <c r="AR14" s="7">
        <v>3</v>
      </c>
      <c r="AS14" s="7">
        <v>3</v>
      </c>
      <c r="AT14" s="7">
        <v>3</v>
      </c>
      <c r="AU14" s="7">
        <v>3</v>
      </c>
      <c r="AV14" s="7">
        <v>3</v>
      </c>
      <c r="AW14" s="7">
        <v>3</v>
      </c>
      <c r="AX14" s="7">
        <v>1</v>
      </c>
      <c r="AY14" s="7">
        <v>1</v>
      </c>
      <c r="AZ14" s="7">
        <v>2</v>
      </c>
      <c r="BA14" s="7">
        <v>3</v>
      </c>
      <c r="BB14" s="7">
        <v>3</v>
      </c>
      <c r="BC14" s="7">
        <v>3</v>
      </c>
      <c r="BD14" s="7">
        <v>3</v>
      </c>
      <c r="BE14" s="7">
        <v>3</v>
      </c>
      <c r="BF14" s="7">
        <v>3</v>
      </c>
      <c r="BG14" s="7">
        <v>3</v>
      </c>
      <c r="BH14" s="7">
        <v>3</v>
      </c>
      <c r="BI14" s="7">
        <v>3</v>
      </c>
      <c r="BJ14" s="7">
        <v>3</v>
      </c>
      <c r="BK14" s="7">
        <v>3</v>
      </c>
      <c r="BL14" s="7">
        <v>3</v>
      </c>
      <c r="BM14" s="7">
        <v>3</v>
      </c>
      <c r="BN14" s="7">
        <v>1</v>
      </c>
      <c r="BO14" s="7">
        <v>1</v>
      </c>
      <c r="BP14" s="7">
        <v>2</v>
      </c>
      <c r="BQ14" s="7">
        <v>1</v>
      </c>
      <c r="BR14" s="7">
        <v>3</v>
      </c>
      <c r="BS14" s="7">
        <v>3</v>
      </c>
      <c r="BT14" s="7">
        <v>2</v>
      </c>
      <c r="BU14" s="7">
        <v>2</v>
      </c>
      <c r="BV14" s="7">
        <v>3</v>
      </c>
      <c r="BW14" s="7">
        <v>2</v>
      </c>
      <c r="BX14" s="7">
        <v>3</v>
      </c>
      <c r="BY14" s="7">
        <v>3</v>
      </c>
      <c r="BZ14" s="7">
        <v>3</v>
      </c>
      <c r="CA14" s="7">
        <v>2</v>
      </c>
      <c r="CB14" s="7">
        <v>2</v>
      </c>
      <c r="CC14" s="7">
        <v>3</v>
      </c>
      <c r="CD14" s="7">
        <v>2</v>
      </c>
      <c r="CE14" s="7">
        <v>3</v>
      </c>
      <c r="CF14" s="7">
        <v>3</v>
      </c>
      <c r="CG14" s="7">
        <v>3</v>
      </c>
      <c r="CH14" s="7">
        <v>3</v>
      </c>
      <c r="CI14" s="7">
        <v>3</v>
      </c>
      <c r="CJ14" s="7">
        <v>3</v>
      </c>
      <c r="CK14" s="7">
        <v>3</v>
      </c>
      <c r="CL14" s="7">
        <v>3</v>
      </c>
      <c r="CM14" s="7">
        <v>3</v>
      </c>
      <c r="CN14" s="7">
        <v>3</v>
      </c>
      <c r="CO14" s="7">
        <v>3</v>
      </c>
      <c r="CP14" s="7">
        <v>3</v>
      </c>
      <c r="CQ14" s="7">
        <v>2</v>
      </c>
      <c r="CR14" s="7">
        <v>3</v>
      </c>
      <c r="CS14" s="7">
        <v>3</v>
      </c>
      <c r="CT14" s="7">
        <v>3</v>
      </c>
    </row>
    <row r="15" spans="1:98" ht="15" x14ac:dyDescent="0.25">
      <c r="A15" s="22" t="s">
        <v>141</v>
      </c>
      <c r="B15" s="23">
        <v>39</v>
      </c>
      <c r="C15" s="23">
        <v>53</v>
      </c>
      <c r="D15" s="23">
        <v>42</v>
      </c>
      <c r="E15" s="17">
        <v>44.55</v>
      </c>
      <c r="F15" s="13" t="s">
        <v>122</v>
      </c>
      <c r="G15" s="13">
        <v>2.3125</v>
      </c>
      <c r="H15" s="18">
        <v>45870</v>
      </c>
      <c r="I15" s="19" t="s">
        <v>106</v>
      </c>
      <c r="J15" s="7" t="s">
        <v>89</v>
      </c>
      <c r="K15" s="7" t="s">
        <v>107</v>
      </c>
      <c r="L15" s="7" t="s">
        <v>90</v>
      </c>
      <c r="M15" s="7" t="s">
        <v>93</v>
      </c>
      <c r="N15" s="19" t="s">
        <v>90</v>
      </c>
      <c r="O15" s="19" t="s">
        <v>144</v>
      </c>
      <c r="P15" s="19" t="s">
        <v>94</v>
      </c>
      <c r="Q15" s="29" t="s">
        <v>91</v>
      </c>
      <c r="R15" s="24"/>
      <c r="S15" s="31" t="s">
        <v>90</v>
      </c>
      <c r="T15" s="7" t="s">
        <v>115</v>
      </c>
      <c r="U15" s="29" t="s">
        <v>145</v>
      </c>
      <c r="V15" s="7" t="s">
        <v>90</v>
      </c>
      <c r="W15" s="7" t="s">
        <v>92</v>
      </c>
      <c r="X15" s="29" t="s">
        <v>90</v>
      </c>
      <c r="Y15" s="24" t="s">
        <v>147</v>
      </c>
      <c r="Z15" s="31">
        <v>3</v>
      </c>
      <c r="AA15" s="7">
        <v>1</v>
      </c>
      <c r="AB15" s="7">
        <v>3</v>
      </c>
      <c r="AC15" s="7">
        <v>2</v>
      </c>
      <c r="AD15" s="7">
        <v>2</v>
      </c>
      <c r="AE15" s="3">
        <v>2</v>
      </c>
      <c r="AF15" s="7">
        <v>1</v>
      </c>
      <c r="AG15" s="7">
        <v>2</v>
      </c>
      <c r="AH15" s="7">
        <v>2</v>
      </c>
      <c r="AI15" s="7">
        <v>2</v>
      </c>
      <c r="AJ15" s="7">
        <v>3</v>
      </c>
      <c r="AK15" s="7">
        <v>3</v>
      </c>
      <c r="AL15" s="7">
        <v>3</v>
      </c>
      <c r="AM15" s="7">
        <v>3</v>
      </c>
      <c r="AN15" s="7">
        <v>3</v>
      </c>
      <c r="AO15" s="7">
        <v>3</v>
      </c>
      <c r="AP15" s="3">
        <v>3</v>
      </c>
      <c r="AQ15" s="7">
        <v>3</v>
      </c>
      <c r="AR15" s="7">
        <v>3</v>
      </c>
      <c r="AS15" s="7">
        <v>3</v>
      </c>
      <c r="AT15" s="7">
        <v>3</v>
      </c>
      <c r="AU15" s="7">
        <v>3</v>
      </c>
      <c r="AV15" s="7">
        <v>2</v>
      </c>
      <c r="AW15" s="7">
        <v>2</v>
      </c>
      <c r="AX15" s="7">
        <v>3</v>
      </c>
      <c r="AY15" s="7">
        <v>2</v>
      </c>
      <c r="AZ15" s="7">
        <v>1</v>
      </c>
      <c r="BA15" s="3">
        <v>4</v>
      </c>
      <c r="BB15" s="7">
        <v>2</v>
      </c>
      <c r="BC15" s="7">
        <v>3</v>
      </c>
      <c r="BD15" s="7">
        <v>3</v>
      </c>
      <c r="BE15" s="7">
        <v>2</v>
      </c>
      <c r="BF15" s="7">
        <v>2</v>
      </c>
      <c r="BG15" s="7">
        <v>3</v>
      </c>
      <c r="BH15" s="7">
        <v>2</v>
      </c>
      <c r="BI15" s="7">
        <v>3</v>
      </c>
      <c r="BJ15" s="7">
        <v>1</v>
      </c>
      <c r="BK15" s="7">
        <v>2</v>
      </c>
      <c r="BL15" s="3">
        <v>2</v>
      </c>
      <c r="BM15" s="7">
        <v>2</v>
      </c>
      <c r="BN15" s="7">
        <v>1</v>
      </c>
      <c r="BO15" s="7">
        <v>1</v>
      </c>
      <c r="BP15" s="7">
        <v>1</v>
      </c>
      <c r="BQ15" s="7">
        <v>1</v>
      </c>
      <c r="BR15" s="7">
        <v>1</v>
      </c>
      <c r="BS15" s="7">
        <v>1</v>
      </c>
      <c r="BT15" s="7">
        <v>1</v>
      </c>
      <c r="BU15" s="7">
        <v>3</v>
      </c>
      <c r="BV15" s="7">
        <v>1</v>
      </c>
      <c r="BW15" s="3">
        <v>1</v>
      </c>
      <c r="BX15" s="7">
        <v>1</v>
      </c>
      <c r="BY15" s="7">
        <v>1</v>
      </c>
      <c r="BZ15" s="7">
        <v>3</v>
      </c>
      <c r="CA15" s="7">
        <v>2</v>
      </c>
      <c r="CB15" s="7">
        <v>3</v>
      </c>
      <c r="CC15" s="7">
        <v>1</v>
      </c>
      <c r="CD15" s="7">
        <v>3</v>
      </c>
      <c r="CE15" s="7">
        <v>1</v>
      </c>
      <c r="CF15" s="7">
        <v>3</v>
      </c>
      <c r="CG15" s="7">
        <v>2</v>
      </c>
      <c r="CH15" s="3">
        <v>3</v>
      </c>
      <c r="CI15" s="7">
        <v>2</v>
      </c>
      <c r="CJ15" s="7">
        <v>1</v>
      </c>
      <c r="CK15" s="7">
        <v>2</v>
      </c>
      <c r="CL15" s="7">
        <v>2</v>
      </c>
      <c r="CM15" s="7">
        <v>2</v>
      </c>
      <c r="CN15" s="3">
        <v>3</v>
      </c>
      <c r="CO15" s="7">
        <v>3</v>
      </c>
      <c r="CP15" s="7">
        <v>2</v>
      </c>
      <c r="CQ15" s="7">
        <v>2</v>
      </c>
      <c r="CR15" s="7">
        <v>2</v>
      </c>
      <c r="CS15" s="7">
        <v>2</v>
      </c>
      <c r="CT15" s="7">
        <v>1</v>
      </c>
    </row>
    <row r="16" spans="1:98" ht="15" x14ac:dyDescent="0.25">
      <c r="A16" s="22" t="s">
        <v>138</v>
      </c>
      <c r="B16" s="23">
        <v>39</v>
      </c>
      <c r="C16" s="23">
        <v>55</v>
      </c>
      <c r="D16" s="23">
        <v>43</v>
      </c>
      <c r="E16" s="17">
        <v>45.6</v>
      </c>
      <c r="F16" s="13" t="s">
        <v>122</v>
      </c>
      <c r="G16" s="20">
        <v>2.2734000000000001</v>
      </c>
      <c r="H16" s="15">
        <v>45870</v>
      </c>
      <c r="I16" s="3" t="s">
        <v>101</v>
      </c>
      <c r="J16" s="7" t="s">
        <v>89</v>
      </c>
      <c r="K16" s="7" t="s">
        <v>107</v>
      </c>
      <c r="L16" s="7" t="s">
        <v>90</v>
      </c>
      <c r="M16" s="29" t="s">
        <v>109</v>
      </c>
      <c r="N16" s="19" t="s">
        <v>90</v>
      </c>
      <c r="O16" s="19" t="s">
        <v>144</v>
      </c>
      <c r="P16" s="40" t="s">
        <v>103</v>
      </c>
      <c r="Q16" s="29" t="s">
        <v>91</v>
      </c>
      <c r="R16" s="24"/>
      <c r="S16" s="31" t="s">
        <v>90</v>
      </c>
      <c r="T16" s="7" t="s">
        <v>115</v>
      </c>
      <c r="U16" s="29" t="s">
        <v>149</v>
      </c>
      <c r="V16" s="7" t="s">
        <v>90</v>
      </c>
      <c r="W16" s="7" t="s">
        <v>92</v>
      </c>
      <c r="X16" s="29" t="s">
        <v>90</v>
      </c>
      <c r="Y16" s="24"/>
      <c r="Z16" s="31">
        <v>3</v>
      </c>
      <c r="AA16" s="7">
        <v>1</v>
      </c>
      <c r="AB16" s="7">
        <v>2</v>
      </c>
      <c r="AC16" s="7">
        <v>3</v>
      </c>
      <c r="AD16" s="7">
        <v>3</v>
      </c>
      <c r="AE16" s="3">
        <v>2</v>
      </c>
      <c r="AF16" s="7">
        <v>2</v>
      </c>
      <c r="AG16" s="7">
        <v>2</v>
      </c>
      <c r="AH16" s="7">
        <v>2</v>
      </c>
      <c r="AI16" s="7">
        <v>2</v>
      </c>
      <c r="AJ16" s="7">
        <v>3</v>
      </c>
      <c r="AK16" s="7">
        <v>3</v>
      </c>
      <c r="AL16" s="7">
        <v>3</v>
      </c>
      <c r="AM16" s="7">
        <v>3</v>
      </c>
      <c r="AN16" s="7">
        <v>3</v>
      </c>
      <c r="AO16" s="7">
        <v>3</v>
      </c>
      <c r="AP16" s="3">
        <v>3</v>
      </c>
      <c r="AQ16" s="7">
        <v>3</v>
      </c>
      <c r="AR16" s="7">
        <v>2</v>
      </c>
      <c r="AS16" s="7">
        <v>3</v>
      </c>
      <c r="AT16" s="7">
        <v>2</v>
      </c>
      <c r="AU16" s="7">
        <v>2</v>
      </c>
      <c r="AV16" s="7">
        <v>2</v>
      </c>
      <c r="AW16" s="7">
        <v>2</v>
      </c>
      <c r="AX16" s="7">
        <v>4</v>
      </c>
      <c r="AY16" s="7">
        <v>1</v>
      </c>
      <c r="AZ16" s="7">
        <v>2</v>
      </c>
      <c r="BA16" s="3">
        <v>4</v>
      </c>
      <c r="BB16" s="7">
        <v>3</v>
      </c>
      <c r="BC16" s="7">
        <v>3</v>
      </c>
      <c r="BD16" s="7">
        <v>2</v>
      </c>
      <c r="BE16" s="7">
        <v>2</v>
      </c>
      <c r="BF16" s="7">
        <v>1</v>
      </c>
      <c r="BG16" s="7">
        <v>3</v>
      </c>
      <c r="BH16" s="7">
        <v>2</v>
      </c>
      <c r="BI16" s="7">
        <v>2</v>
      </c>
      <c r="BJ16" s="7">
        <v>2</v>
      </c>
      <c r="BK16" s="7">
        <v>2</v>
      </c>
      <c r="BL16" s="3">
        <v>2</v>
      </c>
      <c r="BM16" s="7">
        <v>2</v>
      </c>
      <c r="BN16" s="7">
        <v>2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3</v>
      </c>
      <c r="BV16" s="7">
        <v>1</v>
      </c>
      <c r="BW16" s="3">
        <v>1</v>
      </c>
      <c r="BX16" s="7">
        <v>1</v>
      </c>
      <c r="BY16" s="7">
        <v>1</v>
      </c>
      <c r="BZ16" s="7">
        <v>3</v>
      </c>
      <c r="CA16" s="7">
        <v>2</v>
      </c>
      <c r="CB16" s="7">
        <v>3</v>
      </c>
      <c r="CC16" s="7">
        <v>1</v>
      </c>
      <c r="CD16" s="7">
        <v>3</v>
      </c>
      <c r="CE16" s="7">
        <v>1</v>
      </c>
      <c r="CF16" s="7">
        <v>3</v>
      </c>
      <c r="CG16" s="7">
        <v>2</v>
      </c>
      <c r="CH16" s="3">
        <v>3</v>
      </c>
      <c r="CI16" s="7">
        <v>2</v>
      </c>
      <c r="CJ16" s="7">
        <v>1</v>
      </c>
      <c r="CK16" s="7">
        <v>2</v>
      </c>
      <c r="CL16" s="7">
        <v>2</v>
      </c>
      <c r="CM16" s="7">
        <v>2</v>
      </c>
      <c r="CN16" s="3">
        <v>3</v>
      </c>
      <c r="CO16" s="7">
        <v>3</v>
      </c>
      <c r="CP16" s="7">
        <v>2</v>
      </c>
      <c r="CQ16" s="7">
        <v>2</v>
      </c>
      <c r="CR16" s="7">
        <v>2</v>
      </c>
      <c r="CS16" s="7">
        <v>3</v>
      </c>
      <c r="CT16" s="7">
        <v>2</v>
      </c>
    </row>
    <row r="17" spans="1:98" ht="12.75" x14ac:dyDescent="0.2">
      <c r="A17" s="16" t="s">
        <v>142</v>
      </c>
      <c r="B17" s="17">
        <v>60</v>
      </c>
      <c r="C17" s="17">
        <v>71</v>
      </c>
      <c r="D17" s="17">
        <v>53</v>
      </c>
      <c r="E17" s="17">
        <v>60.15</v>
      </c>
      <c r="F17" s="13" t="s">
        <v>122</v>
      </c>
      <c r="G17" s="13">
        <v>2.2162999999999999</v>
      </c>
      <c r="H17" s="18">
        <v>45870</v>
      </c>
      <c r="I17" s="7" t="s">
        <v>97</v>
      </c>
      <c r="J17" s="7" t="s">
        <v>96</v>
      </c>
      <c r="K17" s="3"/>
      <c r="L17" s="3" t="s">
        <v>91</v>
      </c>
      <c r="M17" s="29"/>
      <c r="N17" s="7" t="s">
        <v>91</v>
      </c>
      <c r="O17" s="24"/>
      <c r="P17" s="39" t="s">
        <v>99</v>
      </c>
      <c r="Q17" s="29" t="s">
        <v>91</v>
      </c>
      <c r="R17" s="24"/>
      <c r="S17" s="31" t="s">
        <v>91</v>
      </c>
      <c r="T17" s="7" t="s">
        <v>115</v>
      </c>
      <c r="U17" s="30" t="s">
        <v>146</v>
      </c>
      <c r="V17" s="3" t="s">
        <v>91</v>
      </c>
      <c r="W17" s="29"/>
      <c r="X17" s="1" t="s">
        <v>91</v>
      </c>
      <c r="Y17" s="24"/>
      <c r="Z17" s="29">
        <v>1</v>
      </c>
      <c r="AA17" s="29">
        <v>2</v>
      </c>
      <c r="AB17" s="29">
        <v>2</v>
      </c>
      <c r="AC17" s="29">
        <v>2</v>
      </c>
      <c r="AD17" s="29">
        <v>2</v>
      </c>
      <c r="AE17" s="29">
        <v>2</v>
      </c>
      <c r="AF17" s="29">
        <v>2</v>
      </c>
      <c r="AG17" s="29">
        <v>2</v>
      </c>
      <c r="AH17" s="29">
        <v>2</v>
      </c>
      <c r="AI17" s="29">
        <v>2</v>
      </c>
      <c r="AJ17" s="29">
        <v>2</v>
      </c>
      <c r="AK17" s="29">
        <v>2</v>
      </c>
      <c r="AL17" s="29">
        <v>2</v>
      </c>
      <c r="AM17" s="29">
        <v>2</v>
      </c>
      <c r="AN17" s="29">
        <v>1</v>
      </c>
      <c r="AO17" s="29">
        <v>1</v>
      </c>
      <c r="AP17" s="29">
        <v>1</v>
      </c>
      <c r="AQ17" s="29">
        <v>1</v>
      </c>
      <c r="AR17" s="29">
        <v>1</v>
      </c>
      <c r="AS17" s="29">
        <v>1</v>
      </c>
      <c r="AT17" s="29">
        <v>1</v>
      </c>
      <c r="AU17" s="29">
        <v>1</v>
      </c>
      <c r="AV17" s="29">
        <v>1</v>
      </c>
      <c r="AW17" s="29">
        <v>1</v>
      </c>
      <c r="AX17" s="29">
        <v>1</v>
      </c>
      <c r="AY17" s="29">
        <v>1</v>
      </c>
      <c r="AZ17" s="29">
        <v>1</v>
      </c>
      <c r="BA17" s="29">
        <v>1</v>
      </c>
      <c r="BB17" s="29">
        <v>1</v>
      </c>
      <c r="BC17" s="29">
        <v>1</v>
      </c>
      <c r="BD17" s="29">
        <v>1</v>
      </c>
      <c r="BE17" s="29">
        <v>1</v>
      </c>
      <c r="BF17" s="29">
        <v>1</v>
      </c>
      <c r="BG17" s="29">
        <v>1</v>
      </c>
      <c r="BH17" s="29">
        <v>1</v>
      </c>
      <c r="BI17" s="29">
        <v>1</v>
      </c>
      <c r="BJ17" s="29">
        <v>1</v>
      </c>
      <c r="BK17" s="29">
        <v>1</v>
      </c>
      <c r="BL17" s="7">
        <v>2</v>
      </c>
      <c r="BM17" s="7">
        <v>3</v>
      </c>
      <c r="BN17" s="7">
        <v>2</v>
      </c>
      <c r="BO17" s="7">
        <v>2</v>
      </c>
      <c r="BP17" s="7">
        <v>2</v>
      </c>
      <c r="BQ17" s="7">
        <v>2</v>
      </c>
      <c r="BR17" s="7">
        <v>3</v>
      </c>
      <c r="BS17" s="7">
        <v>2</v>
      </c>
      <c r="BT17" s="7">
        <v>2</v>
      </c>
      <c r="BU17" s="7">
        <v>2</v>
      </c>
      <c r="BV17" s="7">
        <v>2</v>
      </c>
      <c r="BW17" s="7">
        <v>2</v>
      </c>
      <c r="BX17" s="7">
        <v>2</v>
      </c>
      <c r="BY17" s="7">
        <v>1</v>
      </c>
      <c r="BZ17" s="7">
        <v>2</v>
      </c>
      <c r="CA17" s="7">
        <v>2</v>
      </c>
      <c r="CB17" s="7">
        <v>1</v>
      </c>
      <c r="CC17" s="7">
        <v>2</v>
      </c>
      <c r="CD17" s="7">
        <v>1</v>
      </c>
      <c r="CE17" s="7">
        <v>2</v>
      </c>
      <c r="CF17" s="7">
        <v>2</v>
      </c>
      <c r="CG17" s="7">
        <v>3</v>
      </c>
      <c r="CH17" s="7">
        <v>3</v>
      </c>
      <c r="CI17" s="7">
        <v>2</v>
      </c>
      <c r="CJ17" s="7">
        <v>3</v>
      </c>
      <c r="CK17" s="7">
        <v>2</v>
      </c>
      <c r="CL17" s="7">
        <v>2</v>
      </c>
      <c r="CM17" s="7">
        <v>2</v>
      </c>
      <c r="CN17" s="7">
        <v>2</v>
      </c>
      <c r="CO17" s="7">
        <v>2</v>
      </c>
      <c r="CP17" s="7">
        <v>2</v>
      </c>
      <c r="CQ17" s="7">
        <v>2</v>
      </c>
      <c r="CR17" s="7">
        <v>1</v>
      </c>
      <c r="CS17" s="7">
        <v>2</v>
      </c>
      <c r="CT17" s="7">
        <v>2</v>
      </c>
    </row>
    <row r="18" spans="1:98" ht="15" x14ac:dyDescent="0.25">
      <c r="A18" s="22" t="s">
        <v>139</v>
      </c>
      <c r="B18" s="23">
        <v>49</v>
      </c>
      <c r="C18" s="23">
        <v>53</v>
      </c>
      <c r="D18" s="23">
        <v>48</v>
      </c>
      <c r="E18" s="17">
        <v>49.75</v>
      </c>
      <c r="F18" s="13" t="s">
        <v>122</v>
      </c>
      <c r="G18" s="21">
        <v>2.1120999999999999</v>
      </c>
      <c r="H18" s="18">
        <v>45870</v>
      </c>
      <c r="I18" s="3" t="s">
        <v>101</v>
      </c>
      <c r="J18" s="7" t="s">
        <v>96</v>
      </c>
      <c r="K18" s="24"/>
      <c r="L18" s="3" t="s">
        <v>91</v>
      </c>
      <c r="M18" s="29"/>
      <c r="N18" s="19" t="s">
        <v>90</v>
      </c>
      <c r="O18" s="19" t="s">
        <v>144</v>
      </c>
      <c r="P18" s="19" t="s">
        <v>94</v>
      </c>
      <c r="Q18" s="29" t="s">
        <v>91</v>
      </c>
      <c r="R18" s="24"/>
      <c r="S18" s="31" t="s">
        <v>90</v>
      </c>
      <c r="T18" s="7" t="s">
        <v>95</v>
      </c>
      <c r="U18" s="24"/>
      <c r="V18" s="7" t="s">
        <v>90</v>
      </c>
      <c r="W18" s="7" t="s">
        <v>111</v>
      </c>
      <c r="X18" s="1" t="s">
        <v>91</v>
      </c>
      <c r="Y18" s="24"/>
      <c r="Z18" s="31">
        <v>3</v>
      </c>
      <c r="AA18" s="7">
        <v>3</v>
      </c>
      <c r="AB18" s="7">
        <v>3</v>
      </c>
      <c r="AC18" s="7">
        <v>2</v>
      </c>
      <c r="AD18" s="7">
        <v>2</v>
      </c>
      <c r="AE18" s="3">
        <v>3</v>
      </c>
      <c r="AF18" s="7">
        <v>3</v>
      </c>
      <c r="AG18" s="7">
        <v>3</v>
      </c>
      <c r="AH18" s="7">
        <v>3</v>
      </c>
      <c r="AI18" s="7">
        <v>2</v>
      </c>
      <c r="AJ18" s="7">
        <v>2</v>
      </c>
      <c r="AK18" s="7">
        <v>2</v>
      </c>
      <c r="AL18" s="7">
        <v>1</v>
      </c>
      <c r="AM18" s="7">
        <v>1</v>
      </c>
      <c r="AN18" s="7">
        <v>1</v>
      </c>
      <c r="AO18" s="7">
        <v>2</v>
      </c>
      <c r="AP18" s="3">
        <v>2</v>
      </c>
      <c r="AQ18" s="7">
        <v>2</v>
      </c>
      <c r="AR18" s="7">
        <v>2</v>
      </c>
      <c r="AS18" s="7">
        <v>2</v>
      </c>
      <c r="AT18" s="7">
        <v>2</v>
      </c>
      <c r="AU18" s="7">
        <v>2</v>
      </c>
      <c r="AV18" s="7">
        <v>2</v>
      </c>
      <c r="AW18" s="7">
        <v>2</v>
      </c>
      <c r="AX18" s="7">
        <v>1</v>
      </c>
      <c r="AY18" s="7">
        <v>1</v>
      </c>
      <c r="AZ18" s="7">
        <v>1</v>
      </c>
      <c r="BA18" s="3">
        <v>1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2</v>
      </c>
      <c r="BL18" s="3">
        <v>1</v>
      </c>
      <c r="BM18" s="7">
        <v>1</v>
      </c>
      <c r="BN18" s="7">
        <v>1</v>
      </c>
      <c r="BO18" s="7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3</v>
      </c>
      <c r="BV18" s="7">
        <v>1</v>
      </c>
      <c r="BW18" s="3">
        <v>1</v>
      </c>
      <c r="BX18" s="7">
        <v>1</v>
      </c>
      <c r="BY18" s="7">
        <v>1</v>
      </c>
      <c r="BZ18" s="7">
        <v>3</v>
      </c>
      <c r="CA18" s="7">
        <v>2</v>
      </c>
      <c r="CB18" s="7">
        <v>3</v>
      </c>
      <c r="CC18" s="7">
        <v>1</v>
      </c>
      <c r="CD18" s="7">
        <v>2</v>
      </c>
      <c r="CE18" s="7">
        <v>1</v>
      </c>
      <c r="CF18" s="7">
        <v>2</v>
      </c>
      <c r="CG18" s="7">
        <v>2</v>
      </c>
      <c r="CH18" s="3">
        <v>2</v>
      </c>
      <c r="CI18" s="7">
        <v>2</v>
      </c>
      <c r="CJ18" s="7">
        <v>1</v>
      </c>
      <c r="CK18" s="7">
        <v>2</v>
      </c>
      <c r="CL18" s="7">
        <v>2</v>
      </c>
      <c r="CM18" s="7">
        <v>2</v>
      </c>
      <c r="CN18" s="3">
        <v>2</v>
      </c>
      <c r="CO18" s="7">
        <v>2</v>
      </c>
      <c r="CP18" s="7">
        <v>2</v>
      </c>
      <c r="CQ18" s="7">
        <v>2</v>
      </c>
      <c r="CR18" s="7">
        <v>2</v>
      </c>
      <c r="CS18" s="7">
        <v>1</v>
      </c>
      <c r="CT18" s="7">
        <v>2</v>
      </c>
    </row>
    <row r="19" spans="1:98" ht="15" x14ac:dyDescent="0.25">
      <c r="A19" s="22" t="s">
        <v>135</v>
      </c>
      <c r="B19" s="23">
        <v>57</v>
      </c>
      <c r="C19" s="23">
        <v>74</v>
      </c>
      <c r="D19" s="23">
        <v>60</v>
      </c>
      <c r="E19" s="17">
        <v>63.45</v>
      </c>
      <c r="F19" s="13" t="s">
        <v>122</v>
      </c>
      <c r="G19" s="14">
        <v>1.9821</v>
      </c>
      <c r="H19" s="15">
        <v>45870</v>
      </c>
      <c r="I19" s="7" t="s">
        <v>97</v>
      </c>
      <c r="J19" s="7" t="s">
        <v>96</v>
      </c>
      <c r="K19" s="24"/>
      <c r="L19" s="3" t="s">
        <v>91</v>
      </c>
      <c r="M19" s="29"/>
      <c r="N19" s="7" t="s">
        <v>91</v>
      </c>
      <c r="O19" s="24"/>
      <c r="P19" s="19" t="s">
        <v>94</v>
      </c>
      <c r="Q19" s="29" t="s">
        <v>91</v>
      </c>
      <c r="R19" s="24"/>
      <c r="S19" s="31" t="s">
        <v>91</v>
      </c>
      <c r="T19" s="7" t="s">
        <v>115</v>
      </c>
      <c r="U19" s="24"/>
      <c r="V19" s="7" t="s">
        <v>91</v>
      </c>
      <c r="W19" s="29"/>
      <c r="X19" s="7" t="s">
        <v>91</v>
      </c>
      <c r="Y19" s="24"/>
      <c r="Z19" s="32">
        <v>2</v>
      </c>
      <c r="AA19" s="1">
        <v>1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  <c r="AH19" s="1">
        <v>2</v>
      </c>
      <c r="AI19" s="1">
        <v>2</v>
      </c>
      <c r="AJ19" s="1">
        <v>2</v>
      </c>
      <c r="AK19" s="1">
        <v>2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2</v>
      </c>
      <c r="BS19" s="1">
        <v>2</v>
      </c>
      <c r="BT19" s="1">
        <v>1</v>
      </c>
      <c r="BU19" s="1">
        <v>2</v>
      </c>
      <c r="BV19" s="1">
        <v>1</v>
      </c>
      <c r="BW19" s="1">
        <v>1</v>
      </c>
      <c r="BX19" s="1">
        <v>1</v>
      </c>
      <c r="BY19" s="1">
        <v>1</v>
      </c>
      <c r="BZ19" s="1">
        <v>3</v>
      </c>
      <c r="CA19" s="1">
        <v>4</v>
      </c>
      <c r="CB19" s="1">
        <v>3</v>
      </c>
      <c r="CC19" s="1">
        <v>3</v>
      </c>
      <c r="CD19" s="1">
        <v>3</v>
      </c>
      <c r="CE19" s="1">
        <v>2</v>
      </c>
      <c r="CF19" s="1">
        <v>2</v>
      </c>
      <c r="CG19" s="1">
        <v>3</v>
      </c>
      <c r="CH19" s="1">
        <v>3</v>
      </c>
      <c r="CI19" s="1">
        <v>3</v>
      </c>
      <c r="CJ19" s="1">
        <v>2</v>
      </c>
      <c r="CK19" s="1">
        <v>1</v>
      </c>
      <c r="CL19" s="1">
        <v>2</v>
      </c>
      <c r="CM19" s="1">
        <v>2</v>
      </c>
      <c r="CN19" s="1">
        <v>2</v>
      </c>
      <c r="CO19" s="1">
        <v>3</v>
      </c>
      <c r="CP19" s="1">
        <v>2</v>
      </c>
      <c r="CQ19" s="1">
        <v>3</v>
      </c>
      <c r="CR19" s="1">
        <v>2</v>
      </c>
      <c r="CS19" s="1">
        <v>2</v>
      </c>
      <c r="CT19" s="3">
        <v>1</v>
      </c>
    </row>
    <row r="20" spans="1:98" ht="15" x14ac:dyDescent="0.25">
      <c r="A20" s="22" t="s">
        <v>137</v>
      </c>
      <c r="B20" s="23">
        <v>50</v>
      </c>
      <c r="C20" s="23">
        <v>48</v>
      </c>
      <c r="D20" s="23">
        <v>48</v>
      </c>
      <c r="E20" s="17">
        <v>48.5</v>
      </c>
      <c r="F20" s="13" t="s">
        <v>122</v>
      </c>
      <c r="G20" s="20">
        <v>2.3443000000000001</v>
      </c>
      <c r="H20" s="15">
        <v>45870</v>
      </c>
      <c r="I20" s="29" t="s">
        <v>101</v>
      </c>
      <c r="J20" s="7" t="s">
        <v>96</v>
      </c>
      <c r="K20" s="24"/>
      <c r="L20" s="3" t="s">
        <v>91</v>
      </c>
      <c r="M20" s="29"/>
      <c r="N20" s="7" t="s">
        <v>91</v>
      </c>
      <c r="O20" s="24"/>
      <c r="P20" s="40" t="s">
        <v>103</v>
      </c>
      <c r="Q20" s="29" t="s">
        <v>91</v>
      </c>
      <c r="R20" s="24"/>
      <c r="S20" s="31" t="s">
        <v>90</v>
      </c>
      <c r="T20" s="7" t="s">
        <v>95</v>
      </c>
      <c r="U20" s="7" t="s">
        <v>150</v>
      </c>
      <c r="V20" s="3" t="s">
        <v>90</v>
      </c>
      <c r="W20" s="3" t="s">
        <v>151</v>
      </c>
      <c r="X20" s="3" t="s">
        <v>91</v>
      </c>
      <c r="Y20" s="24"/>
      <c r="Z20" s="32">
        <v>2</v>
      </c>
      <c r="AA20" s="1">
        <v>2</v>
      </c>
      <c r="AB20" s="1">
        <v>2</v>
      </c>
      <c r="AC20" s="1">
        <v>2</v>
      </c>
      <c r="AD20" s="1">
        <v>3</v>
      </c>
      <c r="AE20" s="1">
        <v>2</v>
      </c>
      <c r="AF20" s="1">
        <v>2</v>
      </c>
      <c r="AG20" s="1">
        <v>3</v>
      </c>
      <c r="AH20" s="1">
        <v>2</v>
      </c>
      <c r="AI20" s="1">
        <v>2</v>
      </c>
      <c r="AJ20" s="1">
        <v>2</v>
      </c>
      <c r="AK20" s="1">
        <v>2</v>
      </c>
      <c r="AL20" s="1">
        <v>1</v>
      </c>
      <c r="AM20" s="1">
        <v>1</v>
      </c>
      <c r="AN20" s="1">
        <v>1</v>
      </c>
      <c r="AO20" s="1">
        <v>1</v>
      </c>
      <c r="AP20" s="1">
        <v>2</v>
      </c>
      <c r="AQ20" s="1">
        <v>2</v>
      </c>
      <c r="AR20" s="1">
        <v>2</v>
      </c>
      <c r="AS20" s="1">
        <v>2</v>
      </c>
      <c r="AT20" s="1">
        <v>1</v>
      </c>
      <c r="AU20" s="1">
        <v>2</v>
      </c>
      <c r="AV20" s="1">
        <v>1</v>
      </c>
      <c r="AW20" s="1">
        <v>1</v>
      </c>
      <c r="AX20" s="1">
        <v>4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2</v>
      </c>
      <c r="BM20" s="1">
        <v>3</v>
      </c>
      <c r="BN20" s="1">
        <v>1</v>
      </c>
      <c r="BO20" s="1">
        <v>1</v>
      </c>
      <c r="BP20" s="1">
        <v>1</v>
      </c>
      <c r="BQ20" s="1">
        <v>1</v>
      </c>
      <c r="BR20" s="1">
        <v>2</v>
      </c>
      <c r="BS20" s="1">
        <v>3</v>
      </c>
      <c r="BT20" s="1">
        <v>1</v>
      </c>
      <c r="BU20" s="1">
        <v>2</v>
      </c>
      <c r="BV20" s="1">
        <v>1</v>
      </c>
      <c r="BW20" s="1">
        <v>1</v>
      </c>
      <c r="BX20" s="1">
        <v>1</v>
      </c>
      <c r="BY20" s="1">
        <v>1</v>
      </c>
      <c r="BZ20" s="1">
        <v>3</v>
      </c>
      <c r="CA20" s="1">
        <v>4</v>
      </c>
      <c r="CB20" s="1">
        <v>3</v>
      </c>
      <c r="CC20" s="1">
        <v>3</v>
      </c>
      <c r="CD20" s="1">
        <v>3</v>
      </c>
      <c r="CE20" s="1">
        <v>2</v>
      </c>
      <c r="CF20" s="1">
        <v>2</v>
      </c>
      <c r="CG20" s="1">
        <v>3</v>
      </c>
      <c r="CH20" s="1">
        <v>3</v>
      </c>
      <c r="CI20" s="1">
        <v>3</v>
      </c>
      <c r="CJ20" s="1">
        <v>3</v>
      </c>
      <c r="CK20" s="1">
        <v>2</v>
      </c>
      <c r="CL20" s="1">
        <v>2</v>
      </c>
      <c r="CM20" s="1">
        <v>2</v>
      </c>
      <c r="CN20" s="1">
        <v>2</v>
      </c>
      <c r="CO20" s="1">
        <v>2</v>
      </c>
      <c r="CP20" s="1">
        <v>3</v>
      </c>
      <c r="CQ20" s="1">
        <v>3</v>
      </c>
      <c r="CR20" s="1">
        <v>2</v>
      </c>
      <c r="CS20" s="1">
        <v>2</v>
      </c>
      <c r="CT20" s="3">
        <v>1</v>
      </c>
    </row>
    <row r="21" spans="1:98" ht="15" x14ac:dyDescent="0.25">
      <c r="A21" s="16" t="s">
        <v>134</v>
      </c>
      <c r="B21" s="17">
        <v>53</v>
      </c>
      <c r="C21" s="17">
        <v>48</v>
      </c>
      <c r="D21" s="17">
        <v>38</v>
      </c>
      <c r="E21" s="17">
        <v>44.75</v>
      </c>
      <c r="F21" s="13" t="s">
        <v>122</v>
      </c>
      <c r="G21" s="20">
        <v>2.4415</v>
      </c>
      <c r="H21" s="18">
        <v>45870</v>
      </c>
      <c r="I21" s="19" t="s">
        <v>106</v>
      </c>
      <c r="J21" s="7" t="s">
        <v>89</v>
      </c>
      <c r="K21" s="7" t="s">
        <v>107</v>
      </c>
      <c r="L21" s="7" t="s">
        <v>90</v>
      </c>
      <c r="M21" s="7" t="s">
        <v>93</v>
      </c>
      <c r="N21" s="7" t="s">
        <v>91</v>
      </c>
      <c r="O21" s="24"/>
      <c r="P21" s="39" t="s">
        <v>99</v>
      </c>
      <c r="Q21" s="29" t="s">
        <v>91</v>
      </c>
      <c r="R21" s="24"/>
      <c r="S21" s="31" t="s">
        <v>90</v>
      </c>
      <c r="T21" s="7" t="s">
        <v>115</v>
      </c>
      <c r="U21" s="29" t="s">
        <v>145</v>
      </c>
      <c r="V21" s="7" t="s">
        <v>90</v>
      </c>
      <c r="W21" s="7" t="s">
        <v>92</v>
      </c>
      <c r="X21" s="29" t="s">
        <v>90</v>
      </c>
      <c r="Y21" s="24" t="s">
        <v>152</v>
      </c>
      <c r="Z21" s="32">
        <v>3</v>
      </c>
      <c r="AA21" s="1">
        <v>2</v>
      </c>
      <c r="AB21" s="1">
        <v>3</v>
      </c>
      <c r="AC21" s="1">
        <v>3</v>
      </c>
      <c r="AD21" s="1">
        <v>3</v>
      </c>
      <c r="AE21" s="1">
        <v>2</v>
      </c>
      <c r="AF21" s="1">
        <v>2</v>
      </c>
      <c r="AG21" s="1">
        <v>3</v>
      </c>
      <c r="AH21" s="1">
        <v>2</v>
      </c>
      <c r="AI21" s="1">
        <v>2</v>
      </c>
      <c r="AJ21" s="1">
        <v>2</v>
      </c>
      <c r="AK21" s="1">
        <v>2</v>
      </c>
      <c r="AL21" s="1">
        <v>1</v>
      </c>
      <c r="AM21" s="1">
        <v>1</v>
      </c>
      <c r="AN21" s="1">
        <v>2</v>
      </c>
      <c r="AO21" s="1">
        <v>2</v>
      </c>
      <c r="AP21" s="1">
        <v>2</v>
      </c>
      <c r="AQ21" s="1">
        <v>2</v>
      </c>
      <c r="AR21" s="1">
        <v>1</v>
      </c>
      <c r="AS21" s="1">
        <v>1</v>
      </c>
      <c r="AT21" s="1">
        <v>2</v>
      </c>
      <c r="AU21" s="1">
        <v>1</v>
      </c>
      <c r="AV21" s="1">
        <v>2</v>
      </c>
      <c r="AW21" s="1">
        <v>1</v>
      </c>
      <c r="AX21" s="1">
        <v>3</v>
      </c>
      <c r="AY21" s="1">
        <v>1</v>
      </c>
      <c r="AZ21" s="1">
        <v>2</v>
      </c>
      <c r="BA21" s="1">
        <v>2</v>
      </c>
      <c r="BB21" s="1">
        <v>2</v>
      </c>
      <c r="BC21" s="1">
        <v>2</v>
      </c>
      <c r="BD21" s="1">
        <v>2</v>
      </c>
      <c r="BE21" s="1">
        <v>2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3</v>
      </c>
      <c r="BL21" s="1">
        <v>3</v>
      </c>
      <c r="BM21" s="1">
        <v>4</v>
      </c>
      <c r="BN21" s="1">
        <v>1</v>
      </c>
      <c r="BO21" s="1">
        <v>1</v>
      </c>
      <c r="BP21" s="1">
        <v>1</v>
      </c>
      <c r="BQ21" s="1">
        <v>1</v>
      </c>
      <c r="BR21" s="1">
        <v>2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3</v>
      </c>
      <c r="CA21" s="1">
        <v>3</v>
      </c>
      <c r="CB21" s="1">
        <v>3</v>
      </c>
      <c r="CC21" s="1">
        <v>3</v>
      </c>
      <c r="CD21" s="1">
        <v>3</v>
      </c>
      <c r="CE21" s="1">
        <v>2</v>
      </c>
      <c r="CF21" s="1">
        <v>3</v>
      </c>
      <c r="CG21" s="1">
        <v>3</v>
      </c>
      <c r="CH21" s="1">
        <v>3</v>
      </c>
      <c r="CI21" s="1">
        <v>3</v>
      </c>
      <c r="CJ21" s="1">
        <v>2</v>
      </c>
      <c r="CK21" s="1">
        <v>1</v>
      </c>
      <c r="CL21" s="1">
        <v>2</v>
      </c>
      <c r="CM21" s="1">
        <v>2</v>
      </c>
      <c r="CN21" s="1">
        <v>3</v>
      </c>
      <c r="CO21" s="1">
        <v>2</v>
      </c>
      <c r="CP21" s="1">
        <v>2</v>
      </c>
      <c r="CQ21" s="1">
        <v>2</v>
      </c>
      <c r="CR21" s="1">
        <v>2</v>
      </c>
      <c r="CS21" s="1">
        <v>2</v>
      </c>
      <c r="CT21" s="6">
        <v>1</v>
      </c>
    </row>
    <row r="22" spans="1:98" ht="15" x14ac:dyDescent="0.25">
      <c r="A22" s="22" t="s">
        <v>131</v>
      </c>
      <c r="B22" s="23">
        <v>59</v>
      </c>
      <c r="C22" s="23">
        <v>59</v>
      </c>
      <c r="D22" s="23">
        <v>64</v>
      </c>
      <c r="E22" s="17">
        <v>61.25</v>
      </c>
      <c r="F22" s="13" t="s">
        <v>122</v>
      </c>
      <c r="G22" s="20">
        <v>2.0099999999999998</v>
      </c>
      <c r="H22" s="15">
        <v>45870</v>
      </c>
      <c r="I22" s="7" t="s">
        <v>97</v>
      </c>
      <c r="J22" s="7" t="s">
        <v>96</v>
      </c>
      <c r="K22" s="24"/>
      <c r="L22" s="3" t="s">
        <v>91</v>
      </c>
      <c r="M22" s="29"/>
      <c r="N22" s="7" t="s">
        <v>91</v>
      </c>
      <c r="O22" s="24"/>
      <c r="P22" s="41" t="s">
        <v>103</v>
      </c>
      <c r="Q22" s="29" t="s">
        <v>91</v>
      </c>
      <c r="R22" s="24"/>
      <c r="S22" s="31" t="s">
        <v>91</v>
      </c>
      <c r="T22" s="7" t="s">
        <v>115</v>
      </c>
      <c r="U22" s="30"/>
      <c r="V22" s="7" t="s">
        <v>91</v>
      </c>
      <c r="W22" s="29"/>
      <c r="X22" s="7" t="s">
        <v>91</v>
      </c>
      <c r="Y22" s="24"/>
      <c r="Z22" s="32">
        <v>3</v>
      </c>
      <c r="AA22" s="1">
        <v>2</v>
      </c>
      <c r="AB22" s="1">
        <v>3</v>
      </c>
      <c r="AC22" s="1">
        <v>2</v>
      </c>
      <c r="AD22" s="1">
        <v>2</v>
      </c>
      <c r="AE22" s="1">
        <v>3</v>
      </c>
      <c r="AF22" s="1">
        <v>2</v>
      </c>
      <c r="AG22" s="1">
        <v>2</v>
      </c>
      <c r="AH22" s="1">
        <v>2</v>
      </c>
      <c r="AI22" s="1">
        <v>3</v>
      </c>
      <c r="AJ22" s="1">
        <v>2</v>
      </c>
      <c r="AK22" s="1">
        <v>3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4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3</v>
      </c>
      <c r="BL22" s="1">
        <v>4</v>
      </c>
      <c r="BM22" s="1">
        <v>3</v>
      </c>
      <c r="BN22" s="1">
        <v>1</v>
      </c>
      <c r="BO22" s="1">
        <v>1</v>
      </c>
      <c r="BP22" s="1">
        <v>1</v>
      </c>
      <c r="BQ22" s="1">
        <v>1</v>
      </c>
      <c r="BR22" s="1">
        <v>3</v>
      </c>
      <c r="BS22" s="1">
        <v>1</v>
      </c>
      <c r="BT22" s="1">
        <v>2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3</v>
      </c>
      <c r="CA22" s="1">
        <v>2</v>
      </c>
      <c r="CB22" s="1">
        <v>3</v>
      </c>
      <c r="CC22" s="1">
        <v>3</v>
      </c>
      <c r="CD22" s="1">
        <v>3</v>
      </c>
      <c r="CE22" s="1">
        <v>2</v>
      </c>
      <c r="CF22" s="1">
        <v>3</v>
      </c>
      <c r="CG22" s="1">
        <v>3</v>
      </c>
      <c r="CH22" s="1">
        <v>3</v>
      </c>
      <c r="CI22" s="1">
        <v>3</v>
      </c>
      <c r="CJ22" s="1">
        <v>2</v>
      </c>
      <c r="CK22" s="1">
        <v>1</v>
      </c>
      <c r="CL22" s="1">
        <v>3</v>
      </c>
      <c r="CM22" s="1">
        <v>3</v>
      </c>
      <c r="CN22" s="1">
        <v>3</v>
      </c>
      <c r="CO22" s="1">
        <v>2</v>
      </c>
      <c r="CP22" s="1">
        <v>3</v>
      </c>
      <c r="CQ22" s="1">
        <v>3</v>
      </c>
      <c r="CR22" s="1">
        <v>2</v>
      </c>
      <c r="CS22" s="1">
        <v>3</v>
      </c>
      <c r="CT22" s="6">
        <v>2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DATA_EVALUATION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2026-03-24T22:12:17Z</dcterms:modified>
</cp:coreProperties>
</file>