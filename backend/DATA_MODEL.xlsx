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andel\Downloads\Von Files\Von_Thesis\Von_Thesis\venv\"/>
    </mc:Choice>
  </mc:AlternateContent>
  <xr:revisionPtr revIDLastSave="0" documentId="13_ncr:1_{BA5F6721-FBF4-40BF-B32B-E2013EC01F6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_MODEL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1" i="4" l="1"/>
  <c r="F60" i="4"/>
  <c r="F59" i="4"/>
  <c r="F58" i="4"/>
  <c r="F57" i="4"/>
  <c r="F51" i="4"/>
  <c r="F50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0" i="4"/>
  <c r="F16" i="4"/>
  <c r="F15" i="4"/>
  <c r="F14" i="4"/>
  <c r="F13" i="4"/>
  <c r="F12" i="4"/>
  <c r="F11" i="4"/>
  <c r="F10" i="4"/>
  <c r="F9" i="4"/>
  <c r="F8" i="4"/>
  <c r="F6" i="4"/>
  <c r="F5" i="4"/>
  <c r="F2" i="4"/>
</calcChain>
</file>

<file path=xl/sharedStrings.xml><?xml version="1.0" encoding="utf-8"?>
<sst xmlns="http://schemas.openxmlformats.org/spreadsheetml/2006/main" count="922" uniqueCount="220">
  <si>
    <t>Senior High School Strand</t>
  </si>
  <si>
    <t>My Senior High School background adequately prepared me for engineering subjects in college.</t>
  </si>
  <si>
    <t>If NO, what were the main difficulties I experienced? (Check all that apply)</t>
  </si>
  <si>
    <t>Electrical Engineering was my first choice of degree program.</t>
  </si>
  <si>
    <t>If NO, what influenced your decision to take Electrical Engineering?
(Check all that apply)</t>
  </si>
  <si>
    <t>My college education sufficiently prepare me for the EE licensure examination?</t>
  </si>
  <si>
    <t>If NO, which areas were insufficient? 
(Check all that apply)</t>
  </si>
  <si>
    <t>My General Weighted Average (GWA) reflects my mastery of Electrical Engineering concepts. [RATE]</t>
  </si>
  <si>
    <t>I graduated on time.</t>
  </si>
  <si>
    <t>I attended a formal board review program.</t>
  </si>
  <si>
    <t>If YES, what was the duration of my board review?</t>
  </si>
  <si>
    <t>If NO, how did you prepare for the EELE? (Check all that apply)</t>
  </si>
  <si>
    <t>I followed a consistent and structured study schedule during my review period.</t>
  </si>
  <si>
    <t>If NO, what were the main reasons?
(Check all that apply)</t>
  </si>
  <si>
    <t>I utilized various learning resources (review handouts, textbooks, online materials).</t>
  </si>
  <si>
    <t>If NO, what limited my use of learning resources?
(Check all that apply)</t>
  </si>
  <si>
    <t>1.  I have a strong foundation in mathematics required for Electrical Engineering.</t>
  </si>
  <si>
    <t>2.  I understand fundamental concepts in circuit analysis, including DC and AC circuits.</t>
  </si>
  <si>
    <t>3. I understand the principles of electrical machines such as transformers, motors, and generators.</t>
  </si>
  <si>
    <t>4. I have sufficient understanding of power systems, including generation, transmission, and distribution.</t>
  </si>
  <si>
    <t>5.  I understand basic concepts in electronics relevant to the EE licensure examination.</t>
  </si>
  <si>
    <t>6.  I am familiar with electrical laws and theories (e.g., Ohm’s Law, Kirchhoff’s Laws).</t>
  </si>
  <si>
    <t>7. I can recall important formulas and principles needed in the EE licensure examination.</t>
  </si>
  <si>
    <t>8.  My undergraduate Electrical Engineering subjects adequately covered the topics included in the licensure exam.</t>
  </si>
  <si>
    <t>9.   I understand how theoretical concepts are applied to real-world electrical engineering problems.</t>
  </si>
  <si>
    <t>10.  I am familiar with common terminologies and symbols used in Electrical Engineering problems.</t>
  </si>
  <si>
    <t>11.  I can interpret technical diagrams, schematics, and circuit layouts accurately.</t>
  </si>
  <si>
    <t>12.  I understand the scope and coverage of the Electrical Engineering Licensure Examination.</t>
  </si>
  <si>
    <t>1.  I can analyze complex Electrical Engineering problems logically and systematically.</t>
  </si>
  <si>
    <t>2.  I can identify given data and required outputs in EE problem statements.</t>
  </si>
  <si>
    <t>3.  I can select the appropriate formula or method to solve Electrical Engineering problems.</t>
  </si>
  <si>
    <t>4.  I can apply engineering principles to unfamiliar or non-routine problems.</t>
  </si>
  <si>
    <t>5.  I can solve Electrical Engineering board-type problems within a limited time.</t>
  </si>
  <si>
    <t>6.  I can break down complex problems into simpler, manageable steps.</t>
  </si>
  <si>
    <t>7.  I can verify whether my computed answers are reasonable.</t>
  </si>
  <si>
    <t>8.  I can handle multi-step computational problems effectively.</t>
  </si>
  <si>
    <t>9.  I can solve problems accurately under time pressure.</t>
  </si>
  <si>
    <t>10.  I am confident in answering computational questions in the EE licensure examination.</t>
  </si>
  <si>
    <t>11.  I am confident in answering analytical and conceptual questions in the EE licensure examination.</t>
  </si>
  <si>
    <t>12. I can apply problem-solving strategies learned during review sessions and practice exams.</t>
  </si>
  <si>
    <t>1.  I was strongly motivated to pass the Electrical Engineering Licensure Examination.</t>
  </si>
  <si>
    <t>2.  Becoming a licensed Electrical Engineer was one of my personal academic or career goals.</t>
  </si>
  <si>
    <t>3.  I set clear and realistic goals during my board examination preparation.</t>
  </si>
  <si>
    <t>4.  I consistently followed a planned study schedule throughout the review period.</t>
  </si>
  <si>
    <t>5.  I managed my daily study time effectively.</t>
  </si>
  <si>
    <t>6.  I remained disciplined in avoiding distractions while studying.</t>
  </si>
  <si>
    <t>7.  I monitored my progress and adjusted my study strategies when difficulties arose.</t>
  </si>
  <si>
    <t>8.  I remained committed to my review activities even when topics were challenging.</t>
  </si>
  <si>
    <t>1.  I was able to manage stress and anxiety during the review period.</t>
  </si>
  <si>
    <t>2.  I felt mentally prepared to take the Electrical Engineering Licensure Examination.</t>
  </si>
  <si>
    <t>3.  I remained calm when answering practice tests and mock examinations.</t>
  </si>
  <si>
    <t>4.  I maintained good physical health during my board exam preparation.</t>
  </si>
  <si>
    <t>5.  I had sufficient sleep while preparing for the licensure examination.</t>
  </si>
  <si>
    <t>6.  I was able to balance review, rest, and personal activities effectively.</t>
  </si>
  <si>
    <t>7.  I remained mentally focused during long study sessions.</t>
  </si>
  <si>
    <t>8.  I maintained a positive and confident mindset as the examination date approached.</t>
  </si>
  <si>
    <t>1. I received emotional support from my family during my board exam preparation.</t>
  </si>
  <si>
    <t>2.  My family encouraged and motivated me to continue preparing for the EELE.</t>
  </si>
  <si>
    <t>3.  I received academic or moral support from peers or fellow reviewees.</t>
  </si>
  <si>
    <t>4.  Studying with peers positively influenced my motivation or understanding of topics.</t>
  </si>
  <si>
    <t>5.  I had access to sufficient financial resources during my review period.</t>
  </si>
  <si>
    <t>6.  I had access to necessary review materials and learning resources.</t>
  </si>
  <si>
    <t>7.  My study environment was quiet and conducive to effective learning.</t>
  </si>
  <si>
    <t>8.  I had reliable access to electricity, internet, and other essential study tools</t>
  </si>
  <si>
    <t>1.  The Electrical Engineering curriculum of SLSU is aligned with the content and scope of the Electrical Engineering Licensure Examination.</t>
  </si>
  <si>
    <t>2.  Core Electrical Engineering subjects adequately prepared me for licensure-type questions.</t>
  </si>
  <si>
    <t>3.  Course syllabi clearly reflected topics relevant to the EE licensure examination</t>
  </si>
  <si>
    <t>4.  Instruction in major Electrical Engineering subjects emphasized both theory and problem-solving.</t>
  </si>
  <si>
    <t>5.  The sequence of EE subjects in the curriculum supported progressive learning of licensure topics.</t>
  </si>
  <si>
    <t>1.  Faculty members in the Electrical Engineering Department demonstrated strong mastery of the subjects they taught.</t>
  </si>
  <si>
    <t>2.  Instructors effectively explained complex Electrical Engineering concepts</t>
  </si>
  <si>
    <t>3.  Faculty members provided problem-solving techniques relevant to board examinations.</t>
  </si>
  <si>
    <t>4.  Instructors encouraged critical thinking and analytical skills in class.</t>
  </si>
  <si>
    <t>5.  Faculty members were accessible for academic consultation and clarification.</t>
  </si>
  <si>
    <t>1.  The Electrical Engineering Department provided review sessions or activities relevant to the EE licensure examination.</t>
  </si>
  <si>
    <t>2.  Department-organized reviews helped reinforce my understanding of major EE topics.</t>
  </si>
  <si>
    <t>3. Mock examinations or practice tests provided by the department reflected actual board exam difficulty.</t>
  </si>
  <si>
    <t>4.  Academic support activities (e.g., tutorials, refresher courses) contributed to my board exam readiness.</t>
  </si>
  <si>
    <t>5. The timing of departmental review activities was appropriate for board exam preparation.</t>
  </si>
  <si>
    <t>1.  The department provided adequate learning resources (e.g., textbooks, reference materials, and laboratories).</t>
  </si>
  <si>
    <t>2.  Laboratory facilities supported my understanding of theoretical Electrical Engineering concepts.</t>
  </si>
  <si>
    <t>3. Access to computers, software, and technical tools enhanced my learning experience.</t>
  </si>
  <si>
    <t>4. The availability of departmental learning resources supported my licensure exam preparation.</t>
  </si>
  <si>
    <t>5. Department facilities were conducive to learning and academic engagement.</t>
  </si>
  <si>
    <t>1.  The Electrical Engineering Department promoted a culture of academic excellence and board exam readiness.</t>
  </si>
  <si>
    <t>2.  The department encouraged students to aim for high performance in the licensure examination.</t>
  </si>
  <si>
    <t>3. Faculty members motivated students to pursue professional licensure.</t>
  </si>
  <si>
    <t>4. The department provided guidance regarding the licensure examination process and requirements.</t>
  </si>
  <si>
    <t>5. The institutional support of the Electrical Engineering Department positively influenced my preparation for the EE licensure examination.</t>
  </si>
  <si>
    <t>NO</t>
  </si>
  <si>
    <t>No</t>
  </si>
  <si>
    <t>Yes</t>
  </si>
  <si>
    <t>Electrical Engineering Subjects, Mathematics, Engineering Sciences And Allied Subjects</t>
  </si>
  <si>
    <t>Disagree</t>
  </si>
  <si>
    <t>Lack of time, Work-related responsibilities</t>
  </si>
  <si>
    <t>Reliance on a single review material</t>
  </si>
  <si>
    <t>N/A</t>
  </si>
  <si>
    <t>Availability of slots</t>
  </si>
  <si>
    <t>My answer is YES.</t>
  </si>
  <si>
    <t>Agree</t>
  </si>
  <si>
    <t>Personal or family issues</t>
  </si>
  <si>
    <t>6 months</t>
  </si>
  <si>
    <t>YES</t>
  </si>
  <si>
    <t>STEM</t>
  </si>
  <si>
    <t>Lack of time</t>
  </si>
  <si>
    <t>Antonio, Charice A.</t>
  </si>
  <si>
    <t>Neutral</t>
  </si>
  <si>
    <t>I didn't take it seriously because I have personal responsibility.</t>
  </si>
  <si>
    <t>Time constraints</t>
  </si>
  <si>
    <t>Financial considerations, Employment opportunities</t>
  </si>
  <si>
    <t>GAS</t>
  </si>
  <si>
    <t>Limited exposure to problem-solving</t>
  </si>
  <si>
    <t>Strongly Agree</t>
  </si>
  <si>
    <t>Environment</t>
  </si>
  <si>
    <t>Poor time management</t>
  </si>
  <si>
    <t>TVL</t>
  </si>
  <si>
    <t>Weak foundation in Mathematics, Weak foundation in Science, Limited exposure to problem-solving, Poor study habits</t>
  </si>
  <si>
    <t>Mathematics, Engineering Sciences And Allied Subjects</t>
  </si>
  <si>
    <t>De Mesa, Julius P.</t>
  </si>
  <si>
    <t>Weak foundation in Mathematics, Weak foundation in Science, Limited exposure to problem-solving</t>
  </si>
  <si>
    <t>Availability of slots, Employment opportunities, Peer influence</t>
  </si>
  <si>
    <t>Online review materials</t>
  </si>
  <si>
    <t>Poor time management, Lack of motivation</t>
  </si>
  <si>
    <t>Engineering Sciences And Allied Subjects</t>
  </si>
  <si>
    <t>Lack of access, Time constraints, Reliance on a single review material</t>
  </si>
  <si>
    <t>Parents / Family influence</t>
  </si>
  <si>
    <t>Dador Lloyd John Ver M.</t>
  </si>
  <si>
    <t>Self-review, Review books, Peer group study</t>
  </si>
  <si>
    <t>HUMMS</t>
  </si>
  <si>
    <t xml:space="preserve">Rivadulla, Nicole A. </t>
  </si>
  <si>
    <t>Penulliar Renato Jr D.</t>
  </si>
  <si>
    <t>Weak foundation in Mathematics, Limited exposure to problem-solving</t>
  </si>
  <si>
    <t>Self-review, Online review materials, Review books</t>
  </si>
  <si>
    <t>Financial problems, Personal or family issues</t>
  </si>
  <si>
    <t>Work-related responsibilities, Lack of motivation</t>
  </si>
  <si>
    <t>Romero, Charlz Laurenz M.</t>
  </si>
  <si>
    <t>EIM</t>
  </si>
  <si>
    <t>Weak foundation in Mathematics, Limited exposure to problem-solving, Poor study habits</t>
  </si>
  <si>
    <t>Employment opportunities, Peer influence</t>
  </si>
  <si>
    <t>Limited exposure to problem-solving, Poor study habits</t>
  </si>
  <si>
    <t>hobbies</t>
  </si>
  <si>
    <t>Joco, Marc Justin C.</t>
  </si>
  <si>
    <t>Employment opportunities</t>
  </si>
  <si>
    <t>Lack of time, Poor time management</t>
  </si>
  <si>
    <t>Parents / Family influence, Financial considerations, Employment opportunities</t>
  </si>
  <si>
    <t>Casuco John Paul R.</t>
  </si>
  <si>
    <t>Employment opportunities, Influenced by my previous supervisor in SPES</t>
  </si>
  <si>
    <t>de Villa, Kenn E.</t>
  </si>
  <si>
    <t>Work-related responsibilities</t>
  </si>
  <si>
    <t>Financial considerations</t>
  </si>
  <si>
    <t>Poor time management, Work-related responsibilities</t>
  </si>
  <si>
    <t>Time constraints, Reliance on a single review material</t>
  </si>
  <si>
    <t>Maute, Fatima Bon O</t>
  </si>
  <si>
    <t>Self-review, Online review materials, Review books, Peer group study</t>
  </si>
  <si>
    <t>Pitalco, Carl Joshua</t>
  </si>
  <si>
    <t>Academic difficulties, Financial problems, Personal or family issues</t>
  </si>
  <si>
    <t>Parents / Family influence, Availability of slots</t>
  </si>
  <si>
    <t>Cantara, John Christian Yongco</t>
  </si>
  <si>
    <t>TOTAL RATING</t>
  </si>
  <si>
    <t>YEAR</t>
  </si>
  <si>
    <t>3 months</t>
  </si>
  <si>
    <t>NAMES</t>
  </si>
  <si>
    <t>MATH</t>
  </si>
  <si>
    <t>ESAS</t>
  </si>
  <si>
    <t>PASSED / FAILED-RETAKE</t>
  </si>
  <si>
    <t>GWA</t>
  </si>
  <si>
    <t>FAILED</t>
  </si>
  <si>
    <t>Duenas, Lindley Joyce Salazar</t>
  </si>
  <si>
    <t>Mendoza, Jayvee Gonzales</t>
  </si>
  <si>
    <t>Mercurio, Ricky Jay Zornosa</t>
  </si>
  <si>
    <t>Organo, Christine Camile Maris</t>
  </si>
  <si>
    <t>Villarino, Jackie Albitos</t>
  </si>
  <si>
    <t>Cabrera, Joyce Permejo</t>
  </si>
  <si>
    <t>Caminero, Reginald Lopez</t>
  </si>
  <si>
    <t>Cueto, Mary Jayne Rioflorido</t>
  </si>
  <si>
    <t>Gabia, Christine Dapol</t>
  </si>
  <si>
    <t xml:space="preserve">Handig, Kimberly Bibonia </t>
  </si>
  <si>
    <t xml:space="preserve">Maladaga, Kim Renz Nerval </t>
  </si>
  <si>
    <t>Manay, Harley Dars Portes</t>
  </si>
  <si>
    <t>Par, Daniela Narito</t>
  </si>
  <si>
    <t>Tanganim, Vince Carriaga</t>
  </si>
  <si>
    <t>Baris, Nazer Mangirapin</t>
  </si>
  <si>
    <t>Catapang, Gilbey Clard Red</t>
  </si>
  <si>
    <t>Cosejo, Charlenne Mercado</t>
  </si>
  <si>
    <t>Ambas, Devee Libranda</t>
  </si>
  <si>
    <t>Belmil, John Elry Cosejo</t>
  </si>
  <si>
    <t>Caballero, James Angelo Urquiola</t>
  </si>
  <si>
    <t>Cadelino, Kristine Karla Montenegro</t>
  </si>
  <si>
    <t>Carulla, Klint Cedrick Reazo</t>
  </si>
  <si>
    <t>Coronado, Eric John Abella</t>
  </si>
  <si>
    <t>Dator, Kevin Ratio</t>
  </si>
  <si>
    <t>De Castro, Rovemell Espiritu</t>
  </si>
  <si>
    <t xml:space="preserve">Dimaandal, Michael Gutierrez </t>
  </si>
  <si>
    <t>LLamanzares, Reuben Briones</t>
  </si>
  <si>
    <t>Marquez, Angelo Michael Salva</t>
  </si>
  <si>
    <t>Ordillano ,Marcellus Marx Barnes</t>
  </si>
  <si>
    <t>Ostan, James Mearz Sales</t>
  </si>
  <si>
    <t>Pasco, John Vincent Glory</t>
  </si>
  <si>
    <t>Penamante, Meg Aguilar</t>
  </si>
  <si>
    <t>Arceta, John Daryl Lavado</t>
  </si>
  <si>
    <t>Villapando, Melvin Lamar</t>
  </si>
  <si>
    <t>Fabie, Renzon Francia</t>
  </si>
  <si>
    <t>Abella, Arjay Rama</t>
  </si>
  <si>
    <t>Alcaide, Jonel Cabrera</t>
  </si>
  <si>
    <t>Alcoreza, Kathricia Rose Alcala</t>
  </si>
  <si>
    <t>Anda, Samuel Eroles</t>
  </si>
  <si>
    <t>☐ Financial problems</t>
  </si>
  <si>
    <t>☐ Personal or family issues</t>
  </si>
  <si>
    <t>☐ Health-related concerns</t>
  </si>
  <si>
    <t xml:space="preserve">No </t>
  </si>
  <si>
    <t>6  months</t>
  </si>
  <si>
    <t>OTHER</t>
  </si>
  <si>
    <t>Oben, Nelan Sode</t>
  </si>
  <si>
    <t>Tolentino, Ramil Joshua Oblepias</t>
  </si>
  <si>
    <t>Losloso, Nina Alyssa Paala</t>
  </si>
  <si>
    <t>Cuala, Rejay Buhain</t>
  </si>
  <si>
    <t>Nieva, Xzergh Jan Maika Medelebar</t>
  </si>
  <si>
    <t>Marasigan, Joilea Nina Hutalla</t>
  </si>
  <si>
    <t>EE,ESAS</t>
  </si>
  <si>
    <t>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</si>
</sst>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mm\ yyyy"/>
  </numFmts>
  <fonts count="10" x14ac:knownFonts="1">
    <font>
      <sz val="10"/>
      <color rgb="FF000000"/>
      <name val="Arial"/>
      <scheme val="minor"/>
    </font>
    <font>
      <sz val="10"/>
      <color rgb="FF434343"/>
      <name val="Roboto"/>
    </font>
    <font>
      <sz val="10"/>
      <color theme="1"/>
      <name val="Arial"/>
    </font>
    <font>
      <b/>
      <sz val="10"/>
      <color theme="1"/>
      <name val="Arial"/>
    </font>
    <font>
      <sz val="11"/>
      <color theme="1"/>
      <name val="Times New Roman"/>
    </font>
    <font>
      <b/>
      <sz val="11"/>
      <color theme="1"/>
      <name val="Times New Roman"/>
    </font>
    <font>
      <sz val="11"/>
      <color theme="1"/>
      <name val="Arial"/>
    </font>
    <font>
      <b/>
      <sz val="11"/>
      <color theme="1"/>
      <name val="Arial"/>
    </font>
    <font>
      <sz val="10"/>
      <color theme="1"/>
      <name val="Roboto"/>
    </font>
    <font>
      <sz val="10"/>
      <color theme="1"/>
      <name val="Times New Roman"/>
    </font>
  </fonts>
  <fills count="8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A2C4C9"/>
        <bgColor rgb="FFA2C4C9"/>
      </patternFill>
    </fill>
    <fill>
      <patternFill patternType="solid">
        <fgColor rgb="FFB7B7B7"/>
        <bgColor rgb="FFB7B7B7"/>
      </patternFill>
    </fill>
  </fills>
  <borders count="9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8F9FA"/>
      </right>
      <top style="thin">
        <color rgb="FFF8F9FA"/>
      </top>
      <bottom style="thin">
        <color rgb="FFF8F9FA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3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/>
    <xf numFmtId="0" fontId="2" fillId="3" borderId="2" xfId="0" applyFont="1" applyFill="1" applyBorder="1"/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0" borderId="0" xfId="0" applyFont="1"/>
    <xf numFmtId="0" fontId="3" fillId="5" borderId="5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0" fontId="2" fillId="4" borderId="5" xfId="0" applyFont="1" applyFill="1" applyBorder="1"/>
    <xf numFmtId="0" fontId="3" fillId="4" borderId="5" xfId="0" applyFont="1" applyFill="1" applyBorder="1" applyAlignment="1">
      <alignment horizontal="center"/>
    </xf>
    <xf numFmtId="164" fontId="2" fillId="4" borderId="5" xfId="0" applyNumberFormat="1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4" borderId="6" xfId="0" applyFont="1" applyFill="1" applyBorder="1" applyAlignment="1">
      <alignment horizontal="center"/>
    </xf>
    <xf numFmtId="164" fontId="2" fillId="3" borderId="5" xfId="0" applyNumberFormat="1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4" fillId="4" borderId="5" xfId="0" applyFont="1" applyFill="1" applyBorder="1"/>
    <xf numFmtId="0" fontId="5" fillId="4" borderId="5" xfId="0" applyFont="1" applyFill="1" applyBorder="1" applyAlignment="1">
      <alignment horizontal="center"/>
    </xf>
    <xf numFmtId="0" fontId="2" fillId="4" borderId="0" xfId="0" applyFont="1" applyFill="1"/>
    <xf numFmtId="0" fontId="3" fillId="6" borderId="5" xfId="0" applyFont="1" applyFill="1" applyBorder="1"/>
    <xf numFmtId="0" fontId="8" fillId="0" borderId="0" xfId="0" applyFont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8" fillId="4" borderId="5" xfId="0" applyFont="1" applyFill="1" applyBorder="1"/>
    <xf numFmtId="0" fontId="6" fillId="4" borderId="5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8" fillId="3" borderId="5" xfId="0" applyFont="1" applyFill="1" applyBorder="1"/>
    <xf numFmtId="0" fontId="6" fillId="3" borderId="5" xfId="0" applyFont="1" applyFill="1" applyBorder="1" applyAlignment="1">
      <alignment horizontal="center"/>
    </xf>
    <xf numFmtId="0" fontId="2" fillId="4" borderId="2" xfId="0" applyFont="1" applyFill="1" applyBorder="1"/>
    <xf numFmtId="0" fontId="2" fillId="4" borderId="3" xfId="0" applyFont="1" applyFill="1" applyBorder="1"/>
    <xf numFmtId="0" fontId="9" fillId="4" borderId="5" xfId="0" applyFont="1" applyFill="1" applyBorder="1"/>
    <xf numFmtId="0" fontId="1" fillId="4" borderId="0" xfId="0" applyFont="1" applyFill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2" fillId="3" borderId="0" xfId="0" applyFont="1" applyFill="1"/>
    <xf numFmtId="0" fontId="1" fillId="4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5" xfId="0" applyFont="1" applyFill="1" applyBorder="1"/>
    <xf numFmtId="0" fontId="3" fillId="3" borderId="5" xfId="0" applyFont="1" applyFill="1" applyBorder="1" applyAlignment="1">
      <alignment horizontal="center"/>
    </xf>
    <xf numFmtId="0" fontId="9" fillId="3" borderId="5" xfId="0" applyFont="1" applyFill="1" applyBorder="1"/>
    <xf numFmtId="0" fontId="5" fillId="3" borderId="5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2" fillId="4" borderId="4" xfId="0" applyFont="1" applyFill="1" applyBorder="1"/>
  </cellXfs>
  <cellStyles count="1">
    <cellStyle name="Normal" xfId="0" builtinId="0"/>
  </cellStyles>
  <dxfs count="67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mmmm\ yyyy"/>
      <fill>
        <patternFill patternType="solid">
          <fgColor rgb="FFFFFFFF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330">
    <tableStyle name="SURVEY RESULTS-style" pivot="0" count="4" xr9:uid="{00000000-0011-0000-FFFF-FFFF00000000}">
      <tableStyleElement type="wholeTable" size="0" dxfId="670"/>
      <tableStyleElement type="headerRow" dxfId="669"/>
      <tableStyleElement type="firstRowStripe" dxfId="668"/>
      <tableStyleElement type="secondRowStripe" dxfId="667"/>
    </tableStyle>
    <tableStyle name="2022 -2025 PRC DATA RECORD-style" pivot="0" count="2" xr9:uid="{00000000-0011-0000-FFFF-FFFF01000000}">
      <tableStyleElement type="firstRowStripe" dxfId="666"/>
      <tableStyleElement type="secondRowStripe" dxfId="665"/>
    </tableStyle>
    <tableStyle name="2022 -2025 PRC DATA RECORD-style 2" pivot="0" count="2" xr9:uid="{00000000-0011-0000-FFFF-FFFF02000000}">
      <tableStyleElement type="firstRowStripe" dxfId="664"/>
      <tableStyleElement type="secondRowStripe" dxfId="663"/>
    </tableStyle>
    <tableStyle name="2022 -2025 PRC DATA RECORD-style 3" pivot="0" count="2" xr9:uid="{00000000-0011-0000-FFFF-FFFF03000000}">
      <tableStyleElement type="firstRowStripe" dxfId="662"/>
      <tableStyleElement type="secondRowStripe" dxfId="661"/>
    </tableStyle>
    <tableStyle name="2022 -2025 PRC DATA RECORD-style 4" pivot="0" count="2" xr9:uid="{00000000-0011-0000-FFFF-FFFF04000000}">
      <tableStyleElement type="firstRowStripe" dxfId="660"/>
      <tableStyleElement type="secondRowStripe" dxfId="659"/>
    </tableStyle>
    <tableStyle name="2022 -2025 PRC DATA RECORD-style 5" pivot="0" count="2" xr9:uid="{00000000-0011-0000-FFFF-FFFF05000000}">
      <tableStyleElement type="firstRowStripe" dxfId="658"/>
      <tableStyleElement type="secondRowStripe" dxfId="657"/>
    </tableStyle>
    <tableStyle name="2022 -2025 PRC DATA RECORD-style 6" pivot="0" count="2" xr9:uid="{00000000-0011-0000-FFFF-FFFF06000000}">
      <tableStyleElement type="firstRowStripe" dxfId="656"/>
      <tableStyleElement type="secondRowStripe" dxfId="655"/>
    </tableStyle>
    <tableStyle name="2022 -2025 PRC DATA RECORD-style 7" pivot="0" count="2" xr9:uid="{00000000-0011-0000-FFFF-FFFF07000000}">
      <tableStyleElement type="firstRowStripe" dxfId="654"/>
      <tableStyleElement type="secondRowStripe" dxfId="653"/>
    </tableStyle>
    <tableStyle name="2022 -2025 PRC DATA RECORD-style 8" pivot="0" count="2" xr9:uid="{00000000-0011-0000-FFFF-FFFF08000000}">
      <tableStyleElement type="firstRowStripe" dxfId="652"/>
      <tableStyleElement type="secondRowStripe" dxfId="651"/>
    </tableStyle>
    <tableStyle name="2022 -2025 PRC DATA RECORD-style 9" pivot="0" count="2" xr9:uid="{00000000-0011-0000-FFFF-FFFF09000000}">
      <tableStyleElement type="firstRowStripe" dxfId="650"/>
      <tableStyleElement type="secondRowStripe" dxfId="649"/>
    </tableStyle>
    <tableStyle name="2022 -2025 PRC DATA RECORD-style 10" pivot="0" count="2" xr9:uid="{00000000-0011-0000-FFFF-FFFF0A000000}">
      <tableStyleElement type="firstRowStripe" dxfId="648"/>
      <tableStyleElement type="secondRowStripe" dxfId="647"/>
    </tableStyle>
    <tableStyle name="2022 -2025 PRC DATA RECORD-style 11" pivot="0" count="2" xr9:uid="{00000000-0011-0000-FFFF-FFFF0B000000}">
      <tableStyleElement type="firstRowStripe" dxfId="646"/>
      <tableStyleElement type="secondRowStripe" dxfId="645"/>
    </tableStyle>
    <tableStyle name="2022 -2025 PRC DATA RECORD-style 12" pivot="0" count="2" xr9:uid="{00000000-0011-0000-FFFF-FFFF0C000000}">
      <tableStyleElement type="firstRowStripe" dxfId="644"/>
      <tableStyleElement type="secondRowStripe" dxfId="643"/>
    </tableStyle>
    <tableStyle name="2022 -2025 PRC DATA RECORD-style 13" pivot="0" count="2" xr9:uid="{00000000-0011-0000-FFFF-FFFF0D000000}">
      <tableStyleElement type="firstRowStripe" dxfId="642"/>
      <tableStyleElement type="secondRowStripe" dxfId="641"/>
    </tableStyle>
    <tableStyle name="2022 -2025 PRC DATA RECORD-style 14" pivot="0" count="2" xr9:uid="{00000000-0011-0000-FFFF-FFFF0E000000}">
      <tableStyleElement type="firstRowStripe" dxfId="640"/>
      <tableStyleElement type="secondRowStripe" dxfId="639"/>
    </tableStyle>
    <tableStyle name="2022 -2025 PRC DATA RECORD-style 15" pivot="0" count="2" xr9:uid="{00000000-0011-0000-FFFF-FFFF0F000000}">
      <tableStyleElement type="firstRowStripe" dxfId="638"/>
      <tableStyleElement type="secondRowStripe" dxfId="637"/>
    </tableStyle>
    <tableStyle name="2022 -2025 PRC DATA RECORD-style 16" pivot="0" count="2" xr9:uid="{00000000-0011-0000-FFFF-FFFF10000000}">
      <tableStyleElement type="firstRowStripe" dxfId="636"/>
      <tableStyleElement type="secondRowStripe" dxfId="635"/>
    </tableStyle>
    <tableStyle name="2022 -2025 PRC DATA RECORD-style 17" pivot="0" count="2" xr9:uid="{00000000-0011-0000-FFFF-FFFF11000000}">
      <tableStyleElement type="firstRowStripe" dxfId="634"/>
      <tableStyleElement type="secondRowStripe" dxfId="633"/>
    </tableStyle>
    <tableStyle name="2022 -2025 PRC DATA RECORD-style 18" pivot="0" count="2" xr9:uid="{00000000-0011-0000-FFFF-FFFF12000000}">
      <tableStyleElement type="firstRowStripe" dxfId="632"/>
      <tableStyleElement type="secondRowStripe" dxfId="631"/>
    </tableStyle>
    <tableStyle name="2022 -2025 PRC DATA RECORD-style 19" pivot="0" count="2" xr9:uid="{00000000-0011-0000-FFFF-FFFF13000000}">
      <tableStyleElement type="firstRowStripe" dxfId="630"/>
      <tableStyleElement type="secondRowStripe" dxfId="629"/>
    </tableStyle>
    <tableStyle name="2022 -2025 PRC DATA RECORD-style 20" pivot="0" count="2" xr9:uid="{00000000-0011-0000-FFFF-FFFF14000000}">
      <tableStyleElement type="firstRowStripe" dxfId="628"/>
      <tableStyleElement type="secondRowStripe" dxfId="627"/>
    </tableStyle>
    <tableStyle name="2022 -2025 PRC DATA RECORD-style 21" pivot="0" count="2" xr9:uid="{00000000-0011-0000-FFFF-FFFF15000000}">
      <tableStyleElement type="firstRowStripe" dxfId="626"/>
      <tableStyleElement type="secondRowStripe" dxfId="625"/>
    </tableStyle>
    <tableStyle name="2022 -2025 PRC DATA RECORD-style 22" pivot="0" count="2" xr9:uid="{00000000-0011-0000-FFFF-FFFF16000000}">
      <tableStyleElement type="firstRowStripe" dxfId="624"/>
      <tableStyleElement type="secondRowStripe" dxfId="623"/>
    </tableStyle>
    <tableStyle name="2022 -2025 PRC DATA RECORD-style 23" pivot="0" count="2" xr9:uid="{00000000-0011-0000-FFFF-FFFF17000000}">
      <tableStyleElement type="firstRowStripe" dxfId="622"/>
      <tableStyleElement type="secondRowStripe" dxfId="621"/>
    </tableStyle>
    <tableStyle name="2022 -2025 PRC DATA RECORD-style 24" pivot="0" count="2" xr9:uid="{00000000-0011-0000-FFFF-FFFF18000000}">
      <tableStyleElement type="firstRowStripe" dxfId="620"/>
      <tableStyleElement type="secondRowStripe" dxfId="619"/>
    </tableStyle>
    <tableStyle name="2022 -2025 PRC DATA RECORD-style 25" pivot="0" count="2" xr9:uid="{00000000-0011-0000-FFFF-FFFF19000000}">
      <tableStyleElement type="firstRowStripe" dxfId="618"/>
      <tableStyleElement type="secondRowStripe" dxfId="617"/>
    </tableStyle>
    <tableStyle name="DATA_MODEL-style" pivot="0" count="4" xr9:uid="{00000000-0011-0000-FFFF-FFFF1A000000}">
      <tableStyleElement type="wholeTable" size="0" dxfId="616"/>
      <tableStyleElement type="headerRow" dxfId="615"/>
      <tableStyleElement type="firstRowStripe" dxfId="614"/>
      <tableStyleElement type="secondRowStripe" dxfId="613"/>
    </tableStyle>
    <tableStyle name="DATA_MODEL-style 2" pivot="0" count="2" xr9:uid="{00000000-0011-0000-FFFF-FFFF1B000000}">
      <tableStyleElement type="firstRowStripe" dxfId="612"/>
      <tableStyleElement type="secondRowStripe" dxfId="611"/>
    </tableStyle>
    <tableStyle name="DATA_MODEL-style 3" pivot="0" count="2" xr9:uid="{00000000-0011-0000-FFFF-FFFF1C000000}">
      <tableStyleElement type="firstRowStripe" dxfId="610"/>
      <tableStyleElement type="secondRowStripe" dxfId="609"/>
    </tableStyle>
    <tableStyle name="DATA_MODEL-style 4" pivot="0" count="2" xr9:uid="{00000000-0011-0000-FFFF-FFFF1D000000}">
      <tableStyleElement type="firstRowStripe" dxfId="608"/>
      <tableStyleElement type="secondRowStripe" dxfId="607"/>
    </tableStyle>
    <tableStyle name="DATA_MODEL-style 5" pivot="0" count="2" xr9:uid="{00000000-0011-0000-FFFF-FFFF1E000000}">
      <tableStyleElement type="firstRowStripe" dxfId="606"/>
      <tableStyleElement type="secondRowStripe" dxfId="605"/>
    </tableStyle>
    <tableStyle name="DATA_MODEL-style 6" pivot="0" count="2" xr9:uid="{00000000-0011-0000-FFFF-FFFF1F000000}">
      <tableStyleElement type="firstRowStripe" dxfId="604"/>
      <tableStyleElement type="secondRowStripe" dxfId="603"/>
    </tableStyle>
    <tableStyle name="DATA_MODEL-style 7" pivot="0" count="2" xr9:uid="{00000000-0011-0000-FFFF-FFFF20000000}">
      <tableStyleElement type="firstRowStripe" dxfId="602"/>
      <tableStyleElement type="secondRowStripe" dxfId="601"/>
    </tableStyle>
    <tableStyle name="DATA_MODEL-style 8" pivot="0" count="2" xr9:uid="{00000000-0011-0000-FFFF-FFFF21000000}">
      <tableStyleElement type="firstRowStripe" dxfId="600"/>
      <tableStyleElement type="secondRowStripe" dxfId="599"/>
    </tableStyle>
    <tableStyle name="DATA_MODEL-style 9" pivot="0" count="2" xr9:uid="{00000000-0011-0000-FFFF-FFFF22000000}">
      <tableStyleElement type="firstRowStripe" dxfId="598"/>
      <tableStyleElement type="secondRowStripe" dxfId="597"/>
    </tableStyle>
    <tableStyle name="DATA_MODEL-style 10" pivot="0" count="2" xr9:uid="{00000000-0011-0000-FFFF-FFFF23000000}">
      <tableStyleElement type="firstRowStripe" dxfId="596"/>
      <tableStyleElement type="secondRowStripe" dxfId="595"/>
    </tableStyle>
    <tableStyle name="DATA_MODEL-style 11" pivot="0" count="2" xr9:uid="{00000000-0011-0000-FFFF-FFFF24000000}">
      <tableStyleElement type="firstRowStripe" dxfId="594"/>
      <tableStyleElement type="secondRowStripe" dxfId="593"/>
    </tableStyle>
    <tableStyle name="DATA_MODEL-style 12" pivot="0" count="2" xr9:uid="{00000000-0011-0000-FFFF-FFFF25000000}">
      <tableStyleElement type="firstRowStripe" dxfId="592"/>
      <tableStyleElement type="secondRowStripe" dxfId="591"/>
    </tableStyle>
    <tableStyle name="DATA_MODEL-style 13" pivot="0" count="2" xr9:uid="{00000000-0011-0000-FFFF-FFFF26000000}">
      <tableStyleElement type="firstRowStripe" dxfId="590"/>
      <tableStyleElement type="secondRowStripe" dxfId="589"/>
    </tableStyle>
    <tableStyle name="DATA_MODEL-style 14" pivot="0" count="2" xr9:uid="{00000000-0011-0000-FFFF-FFFF27000000}">
      <tableStyleElement type="firstRowStripe" dxfId="588"/>
      <tableStyleElement type="secondRowStripe" dxfId="587"/>
    </tableStyle>
    <tableStyle name="DATA_MODEL-style 15" pivot="0" count="2" xr9:uid="{00000000-0011-0000-FFFF-FFFF28000000}">
      <tableStyleElement type="firstRowStripe" dxfId="586"/>
      <tableStyleElement type="secondRowStripe" dxfId="585"/>
    </tableStyle>
    <tableStyle name="DATA_MODEL-style 16" pivot="0" count="2" xr9:uid="{00000000-0011-0000-FFFF-FFFF29000000}">
      <tableStyleElement type="firstRowStripe" dxfId="584"/>
      <tableStyleElement type="secondRowStripe" dxfId="583"/>
    </tableStyle>
    <tableStyle name="DATA_MODEL-style 17" pivot="0" count="2" xr9:uid="{00000000-0011-0000-FFFF-FFFF2A000000}">
      <tableStyleElement type="firstRowStripe" dxfId="582"/>
      <tableStyleElement type="secondRowStripe" dxfId="581"/>
    </tableStyle>
    <tableStyle name="DATA_MODEL-style 18" pivot="0" count="2" xr9:uid="{00000000-0011-0000-FFFF-FFFF2B000000}">
      <tableStyleElement type="firstRowStripe" dxfId="580"/>
      <tableStyleElement type="secondRowStripe" dxfId="579"/>
    </tableStyle>
    <tableStyle name="DATA_MODEL-style 19" pivot="0" count="2" xr9:uid="{00000000-0011-0000-FFFF-FFFF2C000000}">
      <tableStyleElement type="firstRowStripe" dxfId="578"/>
      <tableStyleElement type="secondRowStripe" dxfId="577"/>
    </tableStyle>
    <tableStyle name="DATA_MODEL-style 20" pivot="0" count="2" xr9:uid="{00000000-0011-0000-FFFF-FFFF2D000000}">
      <tableStyleElement type="firstRowStripe" dxfId="576"/>
      <tableStyleElement type="secondRowStripe" dxfId="575"/>
    </tableStyle>
    <tableStyle name="DATA_MODEL-style 21" pivot="0" count="2" xr9:uid="{00000000-0011-0000-FFFF-FFFF2E000000}">
      <tableStyleElement type="firstRowStripe" dxfId="574"/>
      <tableStyleElement type="secondRowStripe" dxfId="573"/>
    </tableStyle>
    <tableStyle name="DATA_MODEL-style 22" pivot="0" count="2" xr9:uid="{00000000-0011-0000-FFFF-FFFF2F000000}">
      <tableStyleElement type="firstRowStripe" dxfId="572"/>
      <tableStyleElement type="secondRowStripe" dxfId="571"/>
    </tableStyle>
    <tableStyle name="DATA_MODEL-style 23" pivot="0" count="2" xr9:uid="{00000000-0011-0000-FFFF-FFFF30000000}">
      <tableStyleElement type="firstRowStripe" dxfId="570"/>
      <tableStyleElement type="secondRowStripe" dxfId="569"/>
    </tableStyle>
    <tableStyle name="DATA_MODEL-style 24" pivot="0" count="2" xr9:uid="{00000000-0011-0000-FFFF-FFFF31000000}">
      <tableStyleElement type="firstRowStripe" dxfId="568"/>
      <tableStyleElement type="secondRowStripe" dxfId="567"/>
    </tableStyle>
    <tableStyle name="DATA_MODEL-style 25" pivot="0" count="2" xr9:uid="{00000000-0011-0000-FFFF-FFFF32000000}">
      <tableStyleElement type="firstRowStripe" dxfId="566"/>
      <tableStyleElement type="secondRowStripe" dxfId="565"/>
    </tableStyle>
    <tableStyle name="DATA_MODEL-style 26" pivot="0" count="2" xr9:uid="{00000000-0011-0000-FFFF-FFFF33000000}">
      <tableStyleElement type="firstRowStripe" dxfId="564"/>
      <tableStyleElement type="secondRowStripe" dxfId="563"/>
    </tableStyle>
    <tableStyle name="DATA_MODEL-style 27" pivot="0" count="2" xr9:uid="{00000000-0011-0000-FFFF-FFFF34000000}">
      <tableStyleElement type="firstRowStripe" dxfId="562"/>
      <tableStyleElement type="secondRowStripe" dxfId="561"/>
    </tableStyle>
    <tableStyle name="DATA_MODEL-style 28" pivot="0" count="2" xr9:uid="{00000000-0011-0000-FFFF-FFFF35000000}">
      <tableStyleElement type="firstRowStripe" dxfId="560"/>
      <tableStyleElement type="secondRowStripe" dxfId="559"/>
    </tableStyle>
    <tableStyle name="DATA_MODEL-style 29" pivot="0" count="2" xr9:uid="{00000000-0011-0000-FFFF-FFFF36000000}">
      <tableStyleElement type="firstRowStripe" dxfId="558"/>
      <tableStyleElement type="secondRowStripe" dxfId="557"/>
    </tableStyle>
    <tableStyle name="DATA_MODEL-style 30" pivot="0" count="2" xr9:uid="{00000000-0011-0000-FFFF-FFFF37000000}">
      <tableStyleElement type="firstRowStripe" dxfId="556"/>
      <tableStyleElement type="secondRowStripe" dxfId="555"/>
    </tableStyle>
    <tableStyle name="DATA_MODEL-style 31" pivot="0" count="2" xr9:uid="{00000000-0011-0000-FFFF-FFFF38000000}">
      <tableStyleElement type="firstRowStripe" dxfId="554"/>
      <tableStyleElement type="secondRowStripe" dxfId="553"/>
    </tableStyle>
    <tableStyle name="DATA_MODEL-style 32" pivot="0" count="2" xr9:uid="{00000000-0011-0000-FFFF-FFFF39000000}">
      <tableStyleElement type="firstRowStripe" dxfId="552"/>
      <tableStyleElement type="secondRowStripe" dxfId="551"/>
    </tableStyle>
    <tableStyle name="DATA_MODEL-style 33" pivot="0" count="2" xr9:uid="{00000000-0011-0000-FFFF-FFFF3A000000}">
      <tableStyleElement type="firstRowStripe" dxfId="550"/>
      <tableStyleElement type="secondRowStripe" dxfId="549"/>
    </tableStyle>
    <tableStyle name="DATA_MODEL-style 34" pivot="0" count="2" xr9:uid="{00000000-0011-0000-FFFF-FFFF3B000000}">
      <tableStyleElement type="firstRowStripe" dxfId="548"/>
      <tableStyleElement type="secondRowStripe" dxfId="547"/>
    </tableStyle>
    <tableStyle name="DATA_MODEL-style 35" pivot="0" count="2" xr9:uid="{00000000-0011-0000-FFFF-FFFF3C000000}">
      <tableStyleElement type="firstRowStripe" dxfId="546"/>
      <tableStyleElement type="secondRowStripe" dxfId="545"/>
    </tableStyle>
    <tableStyle name="DATA_MODEL-style 36" pivot="0" count="2" xr9:uid="{00000000-0011-0000-FFFF-FFFF3D000000}">
      <tableStyleElement type="firstRowStripe" dxfId="544"/>
      <tableStyleElement type="secondRowStripe" dxfId="543"/>
    </tableStyle>
    <tableStyle name="DATA_MODEL-style 37" pivot="0" count="2" xr9:uid="{00000000-0011-0000-FFFF-FFFF3E000000}">
      <tableStyleElement type="firstRowStripe" dxfId="542"/>
      <tableStyleElement type="secondRowStripe" dxfId="541"/>
    </tableStyle>
    <tableStyle name="DATA_MODEL-style 38" pivot="0" count="2" xr9:uid="{00000000-0011-0000-FFFF-FFFF3F000000}">
      <tableStyleElement type="firstRowStripe" dxfId="540"/>
      <tableStyleElement type="secondRowStripe" dxfId="539"/>
    </tableStyle>
    <tableStyle name="DATA_MODEL-style 39" pivot="0" count="2" xr9:uid="{00000000-0011-0000-FFFF-FFFF40000000}">
      <tableStyleElement type="firstRowStripe" dxfId="538"/>
      <tableStyleElement type="secondRowStripe" dxfId="537"/>
    </tableStyle>
    <tableStyle name="DATA_MODEL-style 40" pivot="0" count="2" xr9:uid="{00000000-0011-0000-FFFF-FFFF41000000}">
      <tableStyleElement type="firstRowStripe" dxfId="536"/>
      <tableStyleElement type="secondRowStripe" dxfId="535"/>
    </tableStyle>
    <tableStyle name="DATA_MODEL-style 41" pivot="0" count="2" xr9:uid="{00000000-0011-0000-FFFF-FFFF42000000}">
      <tableStyleElement type="firstRowStripe" dxfId="534"/>
      <tableStyleElement type="secondRowStripe" dxfId="533"/>
    </tableStyle>
    <tableStyle name="DATA_MODEL-style 42" pivot="0" count="2" xr9:uid="{00000000-0011-0000-FFFF-FFFF43000000}">
      <tableStyleElement type="firstRowStripe" dxfId="532"/>
      <tableStyleElement type="secondRowStripe" dxfId="531"/>
    </tableStyle>
    <tableStyle name="DATA_EVALUATION-style" pivot="0" count="4" xr9:uid="{00000000-0011-0000-FFFF-FFFF44000000}">
      <tableStyleElement type="wholeTable" size="0" dxfId="530"/>
      <tableStyleElement type="headerRow" dxfId="529"/>
      <tableStyleElement type="firstRowStripe" dxfId="528"/>
      <tableStyleElement type="secondRowStripe" dxfId="527"/>
    </tableStyle>
    <tableStyle name="DATA_EVALUATION-style 2" pivot="0" count="2" xr9:uid="{00000000-0011-0000-FFFF-FFFF45000000}">
      <tableStyleElement type="firstRowStripe" dxfId="526"/>
      <tableStyleElement type="secondRowStripe" dxfId="525"/>
    </tableStyle>
    <tableStyle name="DATA_EVALUATION-style 3" pivot="0" count="2" xr9:uid="{00000000-0011-0000-FFFF-FFFF46000000}">
      <tableStyleElement type="firstRowStripe" dxfId="524"/>
      <tableStyleElement type="secondRowStripe" dxfId="523"/>
    </tableStyle>
    <tableStyle name="DATA_EVALUATION-style 4" pivot="0" count="2" xr9:uid="{00000000-0011-0000-FFFF-FFFF47000000}">
      <tableStyleElement type="firstRowStripe" dxfId="522"/>
      <tableStyleElement type="secondRowStripe" dxfId="521"/>
    </tableStyle>
    <tableStyle name="DATA_EVALUATION-style 5" pivot="0" count="2" xr9:uid="{00000000-0011-0000-FFFF-FFFF48000000}">
      <tableStyleElement type="firstRowStripe" dxfId="520"/>
      <tableStyleElement type="secondRowStripe" dxfId="519"/>
    </tableStyle>
    <tableStyle name="DATA_EVALUATION-style 6" pivot="0" count="2" xr9:uid="{00000000-0011-0000-FFFF-FFFF49000000}">
      <tableStyleElement type="firstRowStripe" dxfId="518"/>
      <tableStyleElement type="secondRowStripe" dxfId="517"/>
    </tableStyle>
    <tableStyle name="DATA_DRAFT (MODEL)-style" pivot="0" count="4" xr9:uid="{00000000-0011-0000-FFFF-FFFF4A000000}">
      <tableStyleElement type="wholeTable" size="0" dxfId="516"/>
      <tableStyleElement type="headerRow" dxfId="515"/>
      <tableStyleElement type="firstRowStripe" dxfId="514"/>
      <tableStyleElement type="secondRowStripe" dxfId="513"/>
    </tableStyle>
    <tableStyle name="DATA_DRAFT (MODEL)-style 2" pivot="0" count="2" xr9:uid="{00000000-0011-0000-FFFF-FFFF4B000000}">
      <tableStyleElement type="firstRowStripe" dxfId="512"/>
      <tableStyleElement type="secondRowStripe" dxfId="511"/>
    </tableStyle>
    <tableStyle name="DATA_DRAFT (MODEL)-style 3" pivot="0" count="2" xr9:uid="{00000000-0011-0000-FFFF-FFFF4C000000}">
      <tableStyleElement type="firstRowStripe" dxfId="510"/>
      <tableStyleElement type="secondRowStripe" dxfId="509"/>
    </tableStyle>
    <tableStyle name="DATA_DRAFT (MODEL)-style 4" pivot="0" count="2" xr9:uid="{00000000-0011-0000-FFFF-FFFF4D000000}">
      <tableStyleElement type="firstRowStripe" dxfId="508"/>
      <tableStyleElement type="secondRowStripe" dxfId="507"/>
    </tableStyle>
    <tableStyle name="DATA_DRAFT (MODEL)-style 5" pivot="0" count="2" xr9:uid="{00000000-0011-0000-FFFF-FFFF4E000000}">
      <tableStyleElement type="firstRowStripe" dxfId="506"/>
      <tableStyleElement type="secondRowStripe" dxfId="505"/>
    </tableStyle>
    <tableStyle name="DATA_DRAFT (MODEL)-style 6" pivot="0" count="2" xr9:uid="{00000000-0011-0000-FFFF-FFFF4F000000}">
      <tableStyleElement type="firstRowStripe" dxfId="504"/>
      <tableStyleElement type="secondRowStripe" dxfId="503"/>
    </tableStyle>
    <tableStyle name="DATA_DRAFT (MODEL)-style 7" pivot="0" count="2" xr9:uid="{00000000-0011-0000-FFFF-FFFF50000000}">
      <tableStyleElement type="firstRowStripe" dxfId="502"/>
      <tableStyleElement type="secondRowStripe" dxfId="501"/>
    </tableStyle>
    <tableStyle name="DATA_DRAFT (MODEL)-style 8" pivot="0" count="2" xr9:uid="{00000000-0011-0000-FFFF-FFFF51000000}">
      <tableStyleElement type="firstRowStripe" dxfId="500"/>
      <tableStyleElement type="secondRowStripe" dxfId="499"/>
    </tableStyle>
    <tableStyle name="DATA_DRAFT (MODEL)-style 9" pivot="0" count="2" xr9:uid="{00000000-0011-0000-FFFF-FFFF52000000}">
      <tableStyleElement type="firstRowStripe" dxfId="498"/>
      <tableStyleElement type="secondRowStripe" dxfId="497"/>
    </tableStyle>
    <tableStyle name="DATA_DRAFT (MODEL)-style 10" pivot="0" count="2" xr9:uid="{00000000-0011-0000-FFFF-FFFF53000000}">
      <tableStyleElement type="firstRowStripe" dxfId="496"/>
      <tableStyleElement type="secondRowStripe" dxfId="495"/>
    </tableStyle>
    <tableStyle name="DATA_DRAFT (MODEL)-style 11" pivot="0" count="2" xr9:uid="{00000000-0011-0000-FFFF-FFFF54000000}">
      <tableStyleElement type="firstRowStripe" dxfId="494"/>
      <tableStyleElement type="secondRowStripe" dxfId="493"/>
    </tableStyle>
    <tableStyle name="DATA_DRAFT (MODEL)-style 12" pivot="0" count="2" xr9:uid="{00000000-0011-0000-FFFF-FFFF55000000}">
      <tableStyleElement type="firstRowStripe" dxfId="492"/>
      <tableStyleElement type="secondRowStripe" dxfId="491"/>
    </tableStyle>
    <tableStyle name="DATA_DRAFT (MODEL)-style 13" pivot="0" count="2" xr9:uid="{00000000-0011-0000-FFFF-FFFF56000000}">
      <tableStyleElement type="firstRowStripe" dxfId="490"/>
      <tableStyleElement type="secondRowStripe" dxfId="489"/>
    </tableStyle>
    <tableStyle name="DATA_DRAFT (MODEL)-style 14" pivot="0" count="2" xr9:uid="{00000000-0011-0000-FFFF-FFFF57000000}">
      <tableStyleElement type="firstRowStripe" dxfId="488"/>
      <tableStyleElement type="secondRowStripe" dxfId="487"/>
    </tableStyle>
    <tableStyle name="DATA_DRAFT (MODEL)-style 15" pivot="0" count="2" xr9:uid="{00000000-0011-0000-FFFF-FFFF58000000}">
      <tableStyleElement type="firstRowStripe" dxfId="486"/>
      <tableStyleElement type="secondRowStripe" dxfId="485"/>
    </tableStyle>
    <tableStyle name="DATA_DRAFT (MODEL)-style 16" pivot="0" count="2" xr9:uid="{00000000-0011-0000-FFFF-FFFF59000000}">
      <tableStyleElement type="firstRowStripe" dxfId="484"/>
      <tableStyleElement type="secondRowStripe" dxfId="483"/>
    </tableStyle>
    <tableStyle name="DATA_DRAFT (MODEL)-style 17" pivot="0" count="2" xr9:uid="{00000000-0011-0000-FFFF-FFFF5A000000}">
      <tableStyleElement type="firstRowStripe" dxfId="482"/>
      <tableStyleElement type="secondRowStripe" dxfId="481"/>
    </tableStyle>
    <tableStyle name="DATA_DRAFT (MODEL)-style 18" pivot="0" count="2" xr9:uid="{00000000-0011-0000-FFFF-FFFF5B000000}">
      <tableStyleElement type="firstRowStripe" dxfId="480"/>
      <tableStyleElement type="secondRowStripe" dxfId="479"/>
    </tableStyle>
    <tableStyle name="DATA_DRAFT (MODEL)-style 19" pivot="0" count="2" xr9:uid="{00000000-0011-0000-FFFF-FFFF5C000000}">
      <tableStyleElement type="firstRowStripe" dxfId="478"/>
      <tableStyleElement type="secondRowStripe" dxfId="477"/>
    </tableStyle>
    <tableStyle name="DATA_DRAFT (MODEL)-style 20" pivot="0" count="2" xr9:uid="{00000000-0011-0000-FFFF-FFFF5D000000}">
      <tableStyleElement type="firstRowStripe" dxfId="476"/>
      <tableStyleElement type="secondRowStripe" dxfId="475"/>
    </tableStyle>
    <tableStyle name="DATA_DRAFT (MODEL)-style 21" pivot="0" count="2" xr9:uid="{00000000-0011-0000-FFFF-FFFF5E000000}">
      <tableStyleElement type="firstRowStripe" dxfId="474"/>
      <tableStyleElement type="secondRowStripe" dxfId="473"/>
    </tableStyle>
    <tableStyle name="DATA_DRAFT (MODEL)-style 22" pivot="0" count="2" xr9:uid="{00000000-0011-0000-FFFF-FFFF5F000000}">
      <tableStyleElement type="firstRowStripe" dxfId="472"/>
      <tableStyleElement type="secondRowStripe" dxfId="471"/>
    </tableStyle>
    <tableStyle name="DATA_DRAFT (MODEL)-style 23" pivot="0" count="2" xr9:uid="{00000000-0011-0000-FFFF-FFFF60000000}">
      <tableStyleElement type="firstRowStripe" dxfId="470"/>
      <tableStyleElement type="secondRowStripe" dxfId="469"/>
    </tableStyle>
    <tableStyle name="DATA_DRAFT (MODEL)-style 24" pivot="0" count="2" xr9:uid="{00000000-0011-0000-FFFF-FFFF61000000}">
      <tableStyleElement type="firstRowStripe" dxfId="468"/>
      <tableStyleElement type="secondRowStripe" dxfId="467"/>
    </tableStyle>
    <tableStyle name="DATA_DRAFT (MODEL)-style 25" pivot="0" count="2" xr9:uid="{00000000-0011-0000-FFFF-FFFF62000000}">
      <tableStyleElement type="firstRowStripe" dxfId="466"/>
      <tableStyleElement type="secondRowStripe" dxfId="465"/>
    </tableStyle>
    <tableStyle name="DATA_DRAFT (MODEL)-style 26" pivot="0" count="2" xr9:uid="{00000000-0011-0000-FFFF-FFFF63000000}">
      <tableStyleElement type="firstRowStripe" dxfId="464"/>
      <tableStyleElement type="secondRowStripe" dxfId="463"/>
    </tableStyle>
    <tableStyle name="DATA_DRAFT (MODEL)-style 27" pivot="0" count="2" xr9:uid="{00000000-0011-0000-FFFF-FFFF64000000}">
      <tableStyleElement type="firstRowStripe" dxfId="462"/>
      <tableStyleElement type="secondRowStripe" dxfId="461"/>
    </tableStyle>
    <tableStyle name="DATA_DRAFT (MODEL)-style 28" pivot="0" count="2" xr9:uid="{00000000-0011-0000-FFFF-FFFF65000000}">
      <tableStyleElement type="firstRowStripe" dxfId="460"/>
      <tableStyleElement type="secondRowStripe" dxfId="459"/>
    </tableStyle>
    <tableStyle name="DATA_DRAFT (MODEL)-style 29" pivot="0" count="2" xr9:uid="{00000000-0011-0000-FFFF-FFFF66000000}">
      <tableStyleElement type="firstRowStripe" dxfId="458"/>
      <tableStyleElement type="secondRowStripe" dxfId="457"/>
    </tableStyle>
    <tableStyle name="DATA_DRAFT (MODEL)-style 30" pivot="0" count="2" xr9:uid="{00000000-0011-0000-FFFF-FFFF67000000}">
      <tableStyleElement type="firstRowStripe" dxfId="456"/>
      <tableStyleElement type="secondRowStripe" dxfId="455"/>
    </tableStyle>
    <tableStyle name="DATA_DRAFT (MODEL)-style 31" pivot="0" count="2" xr9:uid="{00000000-0011-0000-FFFF-FFFF68000000}">
      <tableStyleElement type="firstRowStripe" dxfId="454"/>
      <tableStyleElement type="secondRowStripe" dxfId="453"/>
    </tableStyle>
    <tableStyle name="DATA_DRAFT (MODEL)-style 32" pivot="0" count="2" xr9:uid="{00000000-0011-0000-FFFF-FFFF69000000}">
      <tableStyleElement type="firstRowStripe" dxfId="452"/>
      <tableStyleElement type="secondRowStripe" dxfId="451"/>
    </tableStyle>
    <tableStyle name="DATA_DRAFT (MODEL)-style 33" pivot="0" count="2" xr9:uid="{00000000-0011-0000-FFFF-FFFF6A000000}">
      <tableStyleElement type="firstRowStripe" dxfId="450"/>
      <tableStyleElement type="secondRowStripe" dxfId="449"/>
    </tableStyle>
    <tableStyle name="DATA_DRAFT (MODEL)-style 34" pivot="0" count="2" xr9:uid="{00000000-0011-0000-FFFF-FFFF6B000000}">
      <tableStyleElement type="firstRowStripe" dxfId="448"/>
      <tableStyleElement type="secondRowStripe" dxfId="447"/>
    </tableStyle>
    <tableStyle name="DATA_DRAFT (MODEL)-style 35" pivot="0" count="2" xr9:uid="{00000000-0011-0000-FFFF-FFFF6C000000}">
      <tableStyleElement type="firstRowStripe" dxfId="446"/>
      <tableStyleElement type="secondRowStripe" dxfId="445"/>
    </tableStyle>
    <tableStyle name="DATA_DRAFT (MODEL)-style 36" pivot="0" count="2" xr9:uid="{00000000-0011-0000-FFFF-FFFF6D000000}">
      <tableStyleElement type="firstRowStripe" dxfId="444"/>
      <tableStyleElement type="secondRowStripe" dxfId="443"/>
    </tableStyle>
    <tableStyle name="DATA_DRAFT (MODEL)-style 37" pivot="0" count="2" xr9:uid="{00000000-0011-0000-FFFF-FFFF6E000000}">
      <tableStyleElement type="firstRowStripe" dxfId="442"/>
      <tableStyleElement type="secondRowStripe" dxfId="441"/>
    </tableStyle>
    <tableStyle name="DATA_DRAFT (MODEL)-style 38" pivot="0" count="2" xr9:uid="{00000000-0011-0000-FFFF-FFFF6F000000}">
      <tableStyleElement type="firstRowStripe" dxfId="440"/>
      <tableStyleElement type="secondRowStripe" dxfId="439"/>
    </tableStyle>
    <tableStyle name="DATA_DRAFT (MODEL)-style 39" pivot="0" count="2" xr9:uid="{00000000-0011-0000-FFFF-FFFF70000000}">
      <tableStyleElement type="firstRowStripe" dxfId="438"/>
      <tableStyleElement type="secondRowStripe" dxfId="437"/>
    </tableStyle>
    <tableStyle name="DATA_DRAFT (MODEL)-style 40" pivot="0" count="2" xr9:uid="{00000000-0011-0000-FFFF-FFFF71000000}">
      <tableStyleElement type="firstRowStripe" dxfId="436"/>
      <tableStyleElement type="secondRowStripe" dxfId="435"/>
    </tableStyle>
    <tableStyle name="DATA_DRAFT (MODEL)-style 41" pivot="0" count="2" xr9:uid="{00000000-0011-0000-FFFF-FFFF72000000}">
      <tableStyleElement type="firstRowStripe" dxfId="434"/>
      <tableStyleElement type="secondRowStripe" dxfId="433"/>
    </tableStyle>
    <tableStyle name="DATA_DRAFT (MODEL)-style 42" pivot="0" count="2" xr9:uid="{00000000-0011-0000-FFFF-FFFF73000000}">
      <tableStyleElement type="firstRowStripe" dxfId="432"/>
      <tableStyleElement type="secondRowStripe" dxfId="431"/>
    </tableStyle>
    <tableStyle name="DATA_DRAFT (MODEL)-style 43" pivot="0" count="2" xr9:uid="{00000000-0011-0000-FFFF-FFFF74000000}">
      <tableStyleElement type="firstRowStripe" dxfId="430"/>
      <tableStyleElement type="secondRowStripe" dxfId="429"/>
    </tableStyle>
    <tableStyle name="DATA_DRAFT (MODEL)-style 44" pivot="0" count="2" xr9:uid="{00000000-0011-0000-FFFF-FFFF75000000}">
      <tableStyleElement type="firstRowStripe" dxfId="428"/>
      <tableStyleElement type="secondRowStripe" dxfId="427"/>
    </tableStyle>
    <tableStyle name="DATA_DRAFT (MODEL)-style 45" pivot="0" count="2" xr9:uid="{00000000-0011-0000-FFFF-FFFF76000000}">
      <tableStyleElement type="firstRowStripe" dxfId="426"/>
      <tableStyleElement type="secondRowStripe" dxfId="425"/>
    </tableStyle>
    <tableStyle name="DATA_DRAFT (MODEL)-style 46" pivot="0" count="2" xr9:uid="{00000000-0011-0000-FFFF-FFFF77000000}">
      <tableStyleElement type="firstRowStripe" dxfId="424"/>
      <tableStyleElement type="secondRowStripe" dxfId="423"/>
    </tableStyle>
    <tableStyle name="DATA_DRAFT (MODEL)-style 47" pivot="0" count="2" xr9:uid="{00000000-0011-0000-FFFF-FFFF78000000}">
      <tableStyleElement type="firstRowStripe" dxfId="422"/>
      <tableStyleElement type="secondRowStripe" dxfId="421"/>
    </tableStyle>
    <tableStyle name="DATA_DRAFT (MODEL)-style 48" pivot="0" count="2" xr9:uid="{00000000-0011-0000-FFFF-FFFF79000000}">
      <tableStyleElement type="firstRowStripe" dxfId="420"/>
      <tableStyleElement type="secondRowStripe" dxfId="419"/>
    </tableStyle>
    <tableStyle name="DATA_DRAFT (MODEL)-style 49" pivot="0" count="2" xr9:uid="{00000000-0011-0000-FFFF-FFFF7A000000}">
      <tableStyleElement type="firstRowStripe" dxfId="418"/>
      <tableStyleElement type="secondRowStripe" dxfId="417"/>
    </tableStyle>
    <tableStyle name="DATA_DRAFT (MODEL)-style 50" pivot="0" count="2" xr9:uid="{00000000-0011-0000-FFFF-FFFF7B000000}">
      <tableStyleElement type="firstRowStripe" dxfId="416"/>
      <tableStyleElement type="secondRowStripe" dxfId="415"/>
    </tableStyle>
    <tableStyle name="DATA_DRAFT (MODEL)-style 51" pivot="0" count="2" xr9:uid="{00000000-0011-0000-FFFF-FFFF7C000000}">
      <tableStyleElement type="firstRowStripe" dxfId="414"/>
      <tableStyleElement type="secondRowStripe" dxfId="413"/>
    </tableStyle>
    <tableStyle name="DATA_DRAFT (MODEL)-style 52" pivot="0" count="2" xr9:uid="{00000000-0011-0000-FFFF-FFFF7D000000}">
      <tableStyleElement type="firstRowStripe" dxfId="412"/>
      <tableStyleElement type="secondRowStripe" dxfId="411"/>
    </tableStyle>
    <tableStyle name="DATA_DRAFT (MODEL)-style 53" pivot="0" count="2" xr9:uid="{00000000-0011-0000-FFFF-FFFF7E000000}">
      <tableStyleElement type="firstRowStripe" dxfId="410"/>
      <tableStyleElement type="secondRowStripe" dxfId="409"/>
    </tableStyle>
    <tableStyle name="DATA_DRAFT (MODEL)-style 54" pivot="0" count="2" xr9:uid="{00000000-0011-0000-FFFF-FFFF7F000000}">
      <tableStyleElement type="firstRowStripe" dxfId="408"/>
      <tableStyleElement type="secondRowStripe" dxfId="407"/>
    </tableStyle>
    <tableStyle name="DATA_DRAFT (MODEL)-style 55" pivot="0" count="2" xr9:uid="{00000000-0011-0000-FFFF-FFFF80000000}">
      <tableStyleElement type="firstRowStripe" dxfId="406"/>
      <tableStyleElement type="secondRowStripe" dxfId="405"/>
    </tableStyle>
    <tableStyle name="DATA_DRAFT (MODEL)-style 56" pivot="0" count="2" xr9:uid="{00000000-0011-0000-FFFF-FFFF81000000}">
      <tableStyleElement type="firstRowStripe" dxfId="404"/>
      <tableStyleElement type="secondRowStripe" dxfId="403"/>
    </tableStyle>
    <tableStyle name="DATA_DRAFT (MODEL)-style 57" pivot="0" count="2" xr9:uid="{00000000-0011-0000-FFFF-FFFF82000000}">
      <tableStyleElement type="firstRowStripe" dxfId="402"/>
      <tableStyleElement type="secondRowStripe" dxfId="401"/>
    </tableStyle>
    <tableStyle name="DATA_DRAFT (MODEL)-style 58" pivot="0" count="2" xr9:uid="{00000000-0011-0000-FFFF-FFFF83000000}">
      <tableStyleElement type="firstRowStripe" dxfId="400"/>
      <tableStyleElement type="secondRowStripe" dxfId="399"/>
    </tableStyle>
    <tableStyle name="DATA_DRAFT (MODEL)-style 59" pivot="0" count="2" xr9:uid="{00000000-0011-0000-FFFF-FFFF84000000}">
      <tableStyleElement type="firstRowStripe" dxfId="398"/>
      <tableStyleElement type="secondRowStripe" dxfId="397"/>
    </tableStyle>
    <tableStyle name="DATA_DRAFT (MODEL)-style 60" pivot="0" count="2" xr9:uid="{00000000-0011-0000-FFFF-FFFF85000000}">
      <tableStyleElement type="firstRowStripe" dxfId="396"/>
      <tableStyleElement type="secondRowStripe" dxfId="395"/>
    </tableStyle>
    <tableStyle name="DATA_DRAFT (MODEL)-style 61" pivot="0" count="2" xr9:uid="{00000000-0011-0000-FFFF-FFFF86000000}">
      <tableStyleElement type="firstRowStripe" dxfId="394"/>
      <tableStyleElement type="secondRowStripe" dxfId="393"/>
    </tableStyle>
    <tableStyle name="DATA_DRAFT (MODEL)-style 62" pivot="0" count="2" xr9:uid="{00000000-0011-0000-FFFF-FFFF87000000}">
      <tableStyleElement type="firstRowStripe" dxfId="392"/>
      <tableStyleElement type="secondRowStripe" dxfId="391"/>
    </tableStyle>
    <tableStyle name="DATA_DRAFT (MODEL)-style 63" pivot="0" count="2" xr9:uid="{00000000-0011-0000-FFFF-FFFF88000000}">
      <tableStyleElement type="firstRowStripe" dxfId="390"/>
      <tableStyleElement type="secondRowStripe" dxfId="389"/>
    </tableStyle>
    <tableStyle name="DATA_DRAFT (MODEL)-style 64" pivot="0" count="2" xr9:uid="{00000000-0011-0000-FFFF-FFFF89000000}">
      <tableStyleElement type="firstRowStripe" dxfId="388"/>
      <tableStyleElement type="secondRowStripe" dxfId="387"/>
    </tableStyle>
    <tableStyle name="DATA_DRAFT (MODEL)-style 65" pivot="0" count="2" xr9:uid="{00000000-0011-0000-FFFF-FFFF8A000000}">
      <tableStyleElement type="firstRowStripe" dxfId="386"/>
      <tableStyleElement type="secondRowStripe" dxfId="385"/>
    </tableStyle>
    <tableStyle name="DATA_DRAFT (MODEL)-style 66" pivot="0" count="2" xr9:uid="{00000000-0011-0000-FFFF-FFFF8B000000}">
      <tableStyleElement type="firstRowStripe" dxfId="384"/>
      <tableStyleElement type="secondRowStripe" dxfId="383"/>
    </tableStyle>
    <tableStyle name="DATA_DRAFT (MODEL)-style 67" pivot="0" count="2" xr9:uid="{00000000-0011-0000-FFFF-FFFF8C000000}">
      <tableStyleElement type="firstRowStripe" dxfId="382"/>
      <tableStyleElement type="secondRowStripe" dxfId="381"/>
    </tableStyle>
    <tableStyle name="DATA_DRAFT (MODEL)-style 68" pivot="0" count="2" xr9:uid="{00000000-0011-0000-FFFF-FFFF8D000000}">
      <tableStyleElement type="firstRowStripe" dxfId="380"/>
      <tableStyleElement type="secondRowStripe" dxfId="379"/>
    </tableStyle>
    <tableStyle name="DATA_DRAFT (MODEL)-style 69" pivot="0" count="2" xr9:uid="{00000000-0011-0000-FFFF-FFFF8E000000}">
      <tableStyleElement type="firstRowStripe" dxfId="378"/>
      <tableStyleElement type="secondRowStripe" dxfId="377"/>
    </tableStyle>
    <tableStyle name="DATA_DRAFT (MODEL)-style 70" pivot="0" count="2" xr9:uid="{00000000-0011-0000-FFFF-FFFF8F000000}">
      <tableStyleElement type="firstRowStripe" dxfId="376"/>
      <tableStyleElement type="secondRowStripe" dxfId="375"/>
    </tableStyle>
    <tableStyle name="DATA_DRAFT (MODEL)-style 71" pivot="0" count="2" xr9:uid="{00000000-0011-0000-FFFF-FFFF90000000}">
      <tableStyleElement type="firstRowStripe" dxfId="374"/>
      <tableStyleElement type="secondRowStripe" dxfId="373"/>
    </tableStyle>
    <tableStyle name="DATA_DRAFT (MODEL)-style 72" pivot="0" count="2" xr9:uid="{00000000-0011-0000-FFFF-FFFF91000000}">
      <tableStyleElement type="firstRowStripe" dxfId="372"/>
      <tableStyleElement type="secondRowStripe" dxfId="371"/>
    </tableStyle>
    <tableStyle name="DATA_DRAFT (MODEL)-style 73" pivot="0" count="2" xr9:uid="{00000000-0011-0000-FFFF-FFFF92000000}">
      <tableStyleElement type="firstRowStripe" dxfId="370"/>
      <tableStyleElement type="secondRowStripe" dxfId="369"/>
    </tableStyle>
    <tableStyle name="DATA_DRAFT (MODEL)-style 74" pivot="0" count="2" xr9:uid="{00000000-0011-0000-FFFF-FFFF93000000}">
      <tableStyleElement type="firstRowStripe" dxfId="368"/>
      <tableStyleElement type="secondRowStripe" dxfId="367"/>
    </tableStyle>
    <tableStyle name="DATA_DRAFT (MODEL)-style 75" pivot="0" count="2" xr9:uid="{00000000-0011-0000-FFFF-FFFF94000000}">
      <tableStyleElement type="firstRowStripe" dxfId="366"/>
      <tableStyleElement type="secondRowStripe" dxfId="365"/>
    </tableStyle>
    <tableStyle name="DATA_DRAFT (MODEL)-style 76" pivot="0" count="2" xr9:uid="{00000000-0011-0000-FFFF-FFFF95000000}">
      <tableStyleElement type="firstRowStripe" dxfId="364"/>
      <tableStyleElement type="secondRowStripe" dxfId="363"/>
    </tableStyle>
    <tableStyle name="DATA_DRAFT (MODEL)-style 77" pivot="0" count="2" xr9:uid="{00000000-0011-0000-FFFF-FFFF96000000}">
      <tableStyleElement type="firstRowStripe" dxfId="362"/>
      <tableStyleElement type="secondRowStripe" dxfId="361"/>
    </tableStyle>
    <tableStyle name="DATA_DRAFT (MODEL)-style 78" pivot="0" count="2" xr9:uid="{00000000-0011-0000-FFFF-FFFF97000000}">
      <tableStyleElement type="firstRowStripe" dxfId="360"/>
      <tableStyleElement type="secondRowStripe" dxfId="359"/>
    </tableStyle>
    <tableStyle name="DATA_DRAFT (MODEL)-style 79" pivot="0" count="2" xr9:uid="{00000000-0011-0000-FFFF-FFFF98000000}">
      <tableStyleElement type="firstRowStripe" dxfId="358"/>
      <tableStyleElement type="secondRowStripe" dxfId="357"/>
    </tableStyle>
    <tableStyle name="DATA_DRAFT (MODEL)-style 80" pivot="0" count="2" xr9:uid="{00000000-0011-0000-FFFF-FFFF99000000}">
      <tableStyleElement type="firstRowStripe" dxfId="356"/>
      <tableStyleElement type="secondRowStripe" dxfId="355"/>
    </tableStyle>
    <tableStyle name="DATA_DRAFT (MODEL)-style 81" pivot="0" count="2" xr9:uid="{00000000-0011-0000-FFFF-FFFF9A000000}">
      <tableStyleElement type="firstRowStripe" dxfId="354"/>
      <tableStyleElement type="secondRowStripe" dxfId="353"/>
    </tableStyle>
    <tableStyle name="DATA_DRAFT (MODEL)-style 82" pivot="0" count="2" xr9:uid="{00000000-0011-0000-FFFF-FFFF9B000000}">
      <tableStyleElement type="firstRowStripe" dxfId="352"/>
      <tableStyleElement type="secondRowStripe" dxfId="351"/>
    </tableStyle>
    <tableStyle name="DATA_DRAFT (MODEL)-style 83" pivot="0" count="2" xr9:uid="{00000000-0011-0000-FFFF-FFFF9C000000}">
      <tableStyleElement type="firstRowStripe" dxfId="350"/>
      <tableStyleElement type="secondRowStripe" dxfId="349"/>
    </tableStyle>
    <tableStyle name="DATA_DRAFT (MODEL)-style 84" pivot="0" count="2" xr9:uid="{00000000-0011-0000-FFFF-FFFF9D000000}">
      <tableStyleElement type="firstRowStripe" dxfId="348"/>
      <tableStyleElement type="secondRowStripe" dxfId="347"/>
    </tableStyle>
    <tableStyle name="DATA_DRAFT (MODEL)-style 85" pivot="0" count="2" xr9:uid="{00000000-0011-0000-FFFF-FFFF9E000000}">
      <tableStyleElement type="firstRowStripe" dxfId="346"/>
      <tableStyleElement type="secondRowStripe" dxfId="345"/>
    </tableStyle>
    <tableStyle name="DATA_DRAFT (MODEL)-style 86" pivot="0" count="2" xr9:uid="{00000000-0011-0000-FFFF-FFFF9F000000}">
      <tableStyleElement type="firstRowStripe" dxfId="344"/>
      <tableStyleElement type="secondRowStripe" dxfId="343"/>
    </tableStyle>
    <tableStyle name="DATA_DRAFT (MODEL)-style 87" pivot="0" count="2" xr9:uid="{00000000-0011-0000-FFFF-FFFFA0000000}">
      <tableStyleElement type="firstRowStripe" dxfId="342"/>
      <tableStyleElement type="secondRowStripe" dxfId="341"/>
    </tableStyle>
    <tableStyle name="DATA_DRAFT (MODEL)-style 88" pivot="0" count="2" xr9:uid="{00000000-0011-0000-FFFF-FFFFA1000000}">
      <tableStyleElement type="firstRowStripe" dxfId="340"/>
      <tableStyleElement type="secondRowStripe" dxfId="339"/>
    </tableStyle>
    <tableStyle name="DATA_DRAFT (MODEL)-style 89" pivot="0" count="2" xr9:uid="{00000000-0011-0000-FFFF-FFFFA2000000}">
      <tableStyleElement type="firstRowStripe" dxfId="338"/>
      <tableStyleElement type="secondRowStripe" dxfId="337"/>
    </tableStyle>
    <tableStyle name="DATA_DRAFT (MODEL)-style 90" pivot="0" count="2" xr9:uid="{00000000-0011-0000-FFFF-FFFFA3000000}">
      <tableStyleElement type="firstRowStripe" dxfId="336"/>
      <tableStyleElement type="secondRowStripe" dxfId="335"/>
    </tableStyle>
    <tableStyle name="DATA_DRAFT (MODEL)-style 91" pivot="0" count="2" xr9:uid="{00000000-0011-0000-FFFF-FFFFA4000000}">
      <tableStyleElement type="firstRowStripe" dxfId="334"/>
      <tableStyleElement type="secondRowStripe" dxfId="333"/>
    </tableStyle>
    <tableStyle name="DATA_DRAFT (MODEL)-style 92" pivot="0" count="2" xr9:uid="{00000000-0011-0000-FFFF-FFFFA5000000}">
      <tableStyleElement type="firstRowStripe" dxfId="332"/>
      <tableStyleElement type="secondRowStripe" dxfId="331"/>
    </tableStyle>
    <tableStyle name="DATA_DRAFT (MODEL)-style 93" pivot="0" count="2" xr9:uid="{00000000-0011-0000-FFFF-FFFFA6000000}">
      <tableStyleElement type="firstRowStripe" dxfId="330"/>
      <tableStyleElement type="secondRowStripe" dxfId="329"/>
    </tableStyle>
    <tableStyle name="DATA_DRAFT (MODEL)-style 94" pivot="0" count="2" xr9:uid="{00000000-0011-0000-FFFF-FFFFA7000000}">
      <tableStyleElement type="firstRowStripe" dxfId="328"/>
      <tableStyleElement type="secondRowStripe" dxfId="327"/>
    </tableStyle>
    <tableStyle name="DATA_DRAFT (MODEL)-style 95" pivot="0" count="2" xr9:uid="{00000000-0011-0000-FFFF-FFFFA8000000}">
      <tableStyleElement type="firstRowStripe" dxfId="326"/>
      <tableStyleElement type="secondRowStripe" dxfId="325"/>
    </tableStyle>
    <tableStyle name="DATA_DRAFT (MODEL)-style 96" pivot="0" count="2" xr9:uid="{00000000-0011-0000-FFFF-FFFFA9000000}">
      <tableStyleElement type="firstRowStripe" dxfId="324"/>
      <tableStyleElement type="secondRowStripe" dxfId="323"/>
    </tableStyle>
    <tableStyle name="DATA_DRAFT (MODEL)-style 97" pivot="0" count="2" xr9:uid="{00000000-0011-0000-FFFF-FFFFAA000000}">
      <tableStyleElement type="firstRowStripe" dxfId="322"/>
      <tableStyleElement type="secondRowStripe" dxfId="321"/>
    </tableStyle>
    <tableStyle name="DATA_DRAFT (MODEL)-style 98" pivot="0" count="2" xr9:uid="{00000000-0011-0000-FFFF-FFFFAB000000}">
      <tableStyleElement type="firstRowStripe" dxfId="320"/>
      <tableStyleElement type="secondRowStripe" dxfId="319"/>
    </tableStyle>
    <tableStyle name="DATA_DRAFT (MODEL)-style 99" pivot="0" count="2" xr9:uid="{00000000-0011-0000-FFFF-FFFFAC000000}">
      <tableStyleElement type="firstRowStripe" dxfId="318"/>
      <tableStyleElement type="secondRowStripe" dxfId="317"/>
    </tableStyle>
    <tableStyle name="DATA_DRAFT (MODEL)-style 100" pivot="0" count="2" xr9:uid="{00000000-0011-0000-FFFF-FFFFAD000000}">
      <tableStyleElement type="firstRowStripe" dxfId="316"/>
      <tableStyleElement type="secondRowStripe" dxfId="315"/>
    </tableStyle>
    <tableStyle name="DATA_DRAFT (MODEL)-style 101" pivot="0" count="2" xr9:uid="{00000000-0011-0000-FFFF-FFFFAE000000}">
      <tableStyleElement type="firstRowStripe" dxfId="314"/>
      <tableStyleElement type="secondRowStripe" dxfId="313"/>
    </tableStyle>
    <tableStyle name="DATA_DRAFT (MODEL)-style 102" pivot="0" count="2" xr9:uid="{00000000-0011-0000-FFFF-FFFFAF000000}">
      <tableStyleElement type="firstRowStripe" dxfId="312"/>
      <tableStyleElement type="secondRowStripe" dxfId="311"/>
    </tableStyle>
    <tableStyle name="DATA_DRAFT (MODEL)-style 103" pivot="0" count="2" xr9:uid="{00000000-0011-0000-FFFF-FFFFB0000000}">
      <tableStyleElement type="firstRowStripe" dxfId="310"/>
      <tableStyleElement type="secondRowStripe" dxfId="309"/>
    </tableStyle>
    <tableStyle name="DATA_DRAFT (MODEL)-style 104" pivot="0" count="2" xr9:uid="{00000000-0011-0000-FFFF-FFFFB1000000}">
      <tableStyleElement type="firstRowStripe" dxfId="308"/>
      <tableStyleElement type="secondRowStripe" dxfId="307"/>
    </tableStyle>
    <tableStyle name="DATA_DRAFT (MODEL)-style 105" pivot="0" count="2" xr9:uid="{00000000-0011-0000-FFFF-FFFFB2000000}">
      <tableStyleElement type="firstRowStripe" dxfId="306"/>
      <tableStyleElement type="secondRowStripe" dxfId="305"/>
    </tableStyle>
    <tableStyle name="DATA_DRAFT (MODEL)-style 106" pivot="0" count="2" xr9:uid="{00000000-0011-0000-FFFF-FFFFB3000000}">
      <tableStyleElement type="firstRowStripe" dxfId="304"/>
      <tableStyleElement type="secondRowStripe" dxfId="303"/>
    </tableStyle>
    <tableStyle name="DATA_DRAFT (MODEL)-style 107" pivot="0" count="2" xr9:uid="{00000000-0011-0000-FFFF-FFFFB4000000}">
      <tableStyleElement type="firstRowStripe" dxfId="302"/>
      <tableStyleElement type="secondRowStripe" dxfId="301"/>
    </tableStyle>
    <tableStyle name="DATA_DRAFT (MODEL)-style 108" pivot="0" count="2" xr9:uid="{00000000-0011-0000-FFFF-FFFFB5000000}">
      <tableStyleElement type="firstRowStripe" dxfId="300"/>
      <tableStyleElement type="secondRowStripe" dxfId="299"/>
    </tableStyle>
    <tableStyle name="DATA_DRAFT (MODEL)-style 109" pivot="0" count="2" xr9:uid="{00000000-0011-0000-FFFF-FFFFB6000000}">
      <tableStyleElement type="firstRowStripe" dxfId="298"/>
      <tableStyleElement type="secondRowStripe" dxfId="297"/>
    </tableStyle>
    <tableStyle name="DATA_DRAFT (MODEL)-style 110" pivot="0" count="2" xr9:uid="{00000000-0011-0000-FFFF-FFFFB7000000}">
      <tableStyleElement type="firstRowStripe" dxfId="296"/>
      <tableStyleElement type="secondRowStripe" dxfId="295"/>
    </tableStyle>
    <tableStyle name="DATA_DRAFT (MODEL)-style 111" pivot="0" count="2" xr9:uid="{00000000-0011-0000-FFFF-FFFFB8000000}">
      <tableStyleElement type="firstRowStripe" dxfId="294"/>
      <tableStyleElement type="secondRowStripe" dxfId="293"/>
    </tableStyle>
    <tableStyle name="DATA_DRAFT (MODEL)-style 112" pivot="0" count="2" xr9:uid="{00000000-0011-0000-FFFF-FFFFB9000000}">
      <tableStyleElement type="firstRowStripe" dxfId="292"/>
      <tableStyleElement type="secondRowStripe" dxfId="291"/>
    </tableStyle>
    <tableStyle name="DATA_DRAFT (MODEL)-style 113" pivot="0" count="2" xr9:uid="{00000000-0011-0000-FFFF-FFFFBA000000}">
      <tableStyleElement type="firstRowStripe" dxfId="290"/>
      <tableStyleElement type="secondRowStripe" dxfId="289"/>
    </tableStyle>
    <tableStyle name="DATA_DRAFT (MODEL)-style 114" pivot="0" count="2" xr9:uid="{00000000-0011-0000-FFFF-FFFFBB000000}">
      <tableStyleElement type="firstRowStripe" dxfId="288"/>
      <tableStyleElement type="secondRowStripe" dxfId="287"/>
    </tableStyle>
    <tableStyle name="DATA_DRAFT (MODEL)-style 115" pivot="0" count="2" xr9:uid="{00000000-0011-0000-FFFF-FFFFBC000000}">
      <tableStyleElement type="firstRowStripe" dxfId="286"/>
      <tableStyleElement type="secondRowStripe" dxfId="285"/>
    </tableStyle>
    <tableStyle name="DATA_DRAFT (MODEL)-style 116" pivot="0" count="2" xr9:uid="{00000000-0011-0000-FFFF-FFFFBD000000}">
      <tableStyleElement type="firstRowStripe" dxfId="284"/>
      <tableStyleElement type="secondRowStripe" dxfId="283"/>
    </tableStyle>
    <tableStyle name="DATA_DRAFT (MODEL)-style 117" pivot="0" count="2" xr9:uid="{00000000-0011-0000-FFFF-FFFFBE000000}">
      <tableStyleElement type="firstRowStripe" dxfId="282"/>
      <tableStyleElement type="secondRowStripe" dxfId="281"/>
    </tableStyle>
    <tableStyle name="DATA_DRAFT (MODEL)-style 118" pivot="0" count="2" xr9:uid="{00000000-0011-0000-FFFF-FFFFBF000000}">
      <tableStyleElement type="firstRowStripe" dxfId="280"/>
      <tableStyleElement type="secondRowStripe" dxfId="279"/>
    </tableStyle>
    <tableStyle name="DATA_DRAFT (MODEL)-style 119" pivot="0" count="2" xr9:uid="{00000000-0011-0000-FFFF-FFFFC0000000}">
      <tableStyleElement type="firstRowStripe" dxfId="278"/>
      <tableStyleElement type="secondRowStripe" dxfId="277"/>
    </tableStyle>
    <tableStyle name="DATA_DRAFT (MODEL)-style 120" pivot="0" count="2" xr9:uid="{00000000-0011-0000-FFFF-FFFFC1000000}">
      <tableStyleElement type="firstRowStripe" dxfId="276"/>
      <tableStyleElement type="secondRowStripe" dxfId="275"/>
    </tableStyle>
    <tableStyle name="DATA_DRAFT (MODEL)-style 121" pivot="0" count="2" xr9:uid="{00000000-0011-0000-FFFF-FFFFC2000000}">
      <tableStyleElement type="firstRowStripe" dxfId="274"/>
      <tableStyleElement type="secondRowStripe" dxfId="273"/>
    </tableStyle>
    <tableStyle name="DATA_DRAFT (MODEL)-style 122" pivot="0" count="2" xr9:uid="{00000000-0011-0000-FFFF-FFFFC3000000}">
      <tableStyleElement type="firstRowStripe" dxfId="272"/>
      <tableStyleElement type="secondRowStripe" dxfId="271"/>
    </tableStyle>
    <tableStyle name="DATA_DRAFT (MODEL)-style 123" pivot="0" count="2" xr9:uid="{00000000-0011-0000-FFFF-FFFFC4000000}">
      <tableStyleElement type="firstRowStripe" dxfId="270"/>
      <tableStyleElement type="secondRowStripe" dxfId="269"/>
    </tableStyle>
    <tableStyle name="DATA_DRAFT (MODEL)-style 124" pivot="0" count="2" xr9:uid="{00000000-0011-0000-FFFF-FFFFC5000000}">
      <tableStyleElement type="firstRowStripe" dxfId="268"/>
      <tableStyleElement type="secondRowStripe" dxfId="267"/>
    </tableStyle>
    <tableStyle name="DATA_DRAFT (MODEL)-style 125" pivot="0" count="2" xr9:uid="{00000000-0011-0000-FFFF-FFFFC6000000}">
      <tableStyleElement type="firstRowStripe" dxfId="266"/>
      <tableStyleElement type="secondRowStripe" dxfId="265"/>
    </tableStyle>
    <tableStyle name="DATA_DRAFT (MODEL)-style 126" pivot="0" count="2" xr9:uid="{00000000-0011-0000-FFFF-FFFFC7000000}">
      <tableStyleElement type="firstRowStripe" dxfId="264"/>
      <tableStyleElement type="secondRowStripe" dxfId="263"/>
    </tableStyle>
    <tableStyle name="DATA_DRAFT (MODEL)-style 127" pivot="0" count="2" xr9:uid="{00000000-0011-0000-FFFF-FFFFC8000000}">
      <tableStyleElement type="firstRowStripe" dxfId="262"/>
      <tableStyleElement type="secondRowStripe" dxfId="261"/>
    </tableStyle>
    <tableStyle name="DATA_DRAFT (MODEL)-style 128" pivot="0" count="2" xr9:uid="{00000000-0011-0000-FFFF-FFFFC9000000}">
      <tableStyleElement type="firstRowStripe" dxfId="260"/>
      <tableStyleElement type="secondRowStripe" dxfId="259"/>
    </tableStyle>
    <tableStyle name="DATA_DRAFT (MODEL)-style 129" pivot="0" count="2" xr9:uid="{00000000-0011-0000-FFFF-FFFFCA000000}">
      <tableStyleElement type="firstRowStripe" dxfId="258"/>
      <tableStyleElement type="secondRowStripe" dxfId="257"/>
    </tableStyle>
    <tableStyle name="DATA_DRAFT (MODEL)-style 130" pivot="0" count="2" xr9:uid="{00000000-0011-0000-FFFF-FFFFCB000000}">
      <tableStyleElement type="firstRowStripe" dxfId="256"/>
      <tableStyleElement type="secondRowStripe" dxfId="255"/>
    </tableStyle>
    <tableStyle name="DATA_DRAFT (MODEL)-style 131" pivot="0" count="2" xr9:uid="{00000000-0011-0000-FFFF-FFFFCC000000}">
      <tableStyleElement type="firstRowStripe" dxfId="254"/>
      <tableStyleElement type="secondRowStripe" dxfId="253"/>
    </tableStyle>
    <tableStyle name="DATA_DRAFT (MODEL)-style 132" pivot="0" count="2" xr9:uid="{00000000-0011-0000-FFFF-FFFFCD000000}">
      <tableStyleElement type="firstRowStripe" dxfId="252"/>
      <tableStyleElement type="secondRowStripe" dxfId="251"/>
    </tableStyle>
    <tableStyle name="DATA_DRAFT (MODEL)-style 133" pivot="0" count="2" xr9:uid="{00000000-0011-0000-FFFF-FFFFCE000000}">
      <tableStyleElement type="firstRowStripe" dxfId="250"/>
      <tableStyleElement type="secondRowStripe" dxfId="249"/>
    </tableStyle>
    <tableStyle name="DATA_DRAFT (MODEL)-style 134" pivot="0" count="2" xr9:uid="{00000000-0011-0000-FFFF-FFFFCF000000}">
      <tableStyleElement type="firstRowStripe" dxfId="248"/>
      <tableStyleElement type="secondRowStripe" dxfId="247"/>
    </tableStyle>
    <tableStyle name="DATA_DRAFT (MODEL)-style 135" pivot="0" count="2" xr9:uid="{00000000-0011-0000-FFFF-FFFFD0000000}">
      <tableStyleElement type="firstRowStripe" dxfId="246"/>
      <tableStyleElement type="secondRowStripe" dxfId="245"/>
    </tableStyle>
    <tableStyle name="DATA_DRAFT (MODEL)-style 136" pivot="0" count="2" xr9:uid="{00000000-0011-0000-FFFF-FFFFD1000000}">
      <tableStyleElement type="firstRowStripe" dxfId="244"/>
      <tableStyleElement type="secondRowStripe" dxfId="243"/>
    </tableStyle>
    <tableStyle name="DATA_DRAFT (MODEL)-style 137" pivot="0" count="2" xr9:uid="{00000000-0011-0000-FFFF-FFFFD2000000}">
      <tableStyleElement type="firstRowStripe" dxfId="242"/>
      <tableStyleElement type="secondRowStripe" dxfId="241"/>
    </tableStyle>
    <tableStyle name="DATA_DRAFT (MODEL)-style 138" pivot="0" count="2" xr9:uid="{00000000-0011-0000-FFFF-FFFFD3000000}">
      <tableStyleElement type="firstRowStripe" dxfId="240"/>
      <tableStyleElement type="secondRowStripe" dxfId="239"/>
    </tableStyle>
    <tableStyle name="DATA_DRAFT (MODEL)-style 139" pivot="0" count="2" xr9:uid="{00000000-0011-0000-FFFF-FFFFD4000000}">
      <tableStyleElement type="firstRowStripe" dxfId="238"/>
      <tableStyleElement type="secondRowStripe" dxfId="237"/>
    </tableStyle>
    <tableStyle name="DATA_DRAFT (MODEL)-style 140" pivot="0" count="2" xr9:uid="{00000000-0011-0000-FFFF-FFFFD5000000}">
      <tableStyleElement type="firstRowStripe" dxfId="236"/>
      <tableStyleElement type="secondRowStripe" dxfId="235"/>
    </tableStyle>
    <tableStyle name="DATA_DRAFT (MODEL)-style 141" pivot="0" count="2" xr9:uid="{00000000-0011-0000-FFFF-FFFFD6000000}">
      <tableStyleElement type="firstRowStripe" dxfId="234"/>
      <tableStyleElement type="secondRowStripe" dxfId="233"/>
    </tableStyle>
    <tableStyle name="DATA_DRAFT (MODEL)-style 142" pivot="0" count="2" xr9:uid="{00000000-0011-0000-FFFF-FFFFD7000000}">
      <tableStyleElement type="firstRowStripe" dxfId="232"/>
      <tableStyleElement type="secondRowStripe" dxfId="231"/>
    </tableStyle>
    <tableStyle name="DATA_DRAFT (MODEL)-style 143" pivot="0" count="2" xr9:uid="{00000000-0011-0000-FFFF-FFFFD8000000}">
      <tableStyleElement type="firstRowStripe" dxfId="230"/>
      <tableStyleElement type="secondRowStripe" dxfId="229"/>
    </tableStyle>
    <tableStyle name="DATA_DRAFT (MODEL)-style 144" pivot="0" count="2" xr9:uid="{00000000-0011-0000-FFFF-FFFFD9000000}">
      <tableStyleElement type="firstRowStripe" dxfId="228"/>
      <tableStyleElement type="secondRowStripe" dxfId="227"/>
    </tableStyle>
    <tableStyle name="DATA_DRAFT (MODEL)-style 145" pivot="0" count="2" xr9:uid="{00000000-0011-0000-FFFF-FFFFDA000000}">
      <tableStyleElement type="firstRowStripe" dxfId="226"/>
      <tableStyleElement type="secondRowStripe" dxfId="225"/>
    </tableStyle>
    <tableStyle name="DATA_DRAFT (MODEL)-style 146" pivot="0" count="2" xr9:uid="{00000000-0011-0000-FFFF-FFFFDB000000}">
      <tableStyleElement type="firstRowStripe" dxfId="224"/>
      <tableStyleElement type="secondRowStripe" dxfId="223"/>
    </tableStyle>
    <tableStyle name="DATA_DRAFT (MODEL)-style 147" pivot="0" count="2" xr9:uid="{00000000-0011-0000-FFFF-FFFFDC000000}">
      <tableStyleElement type="firstRowStripe" dxfId="222"/>
      <tableStyleElement type="secondRowStripe" dxfId="221"/>
    </tableStyle>
    <tableStyle name="DATA_DRAFT (EVALUATION)-style" pivot="0" count="4" xr9:uid="{00000000-0011-0000-FFFF-FFFFDD000000}">
      <tableStyleElement type="wholeTable" size="0" dxfId="220"/>
      <tableStyleElement type="headerRow" dxfId="219"/>
      <tableStyleElement type="firstRowStripe" dxfId="218"/>
      <tableStyleElement type="secondRowStripe" dxfId="217"/>
    </tableStyle>
    <tableStyle name="DATA_DRAFT (EVALUATION)-style 2" pivot="0" count="2" xr9:uid="{00000000-0011-0000-FFFF-FFFFDE000000}">
      <tableStyleElement type="firstRowStripe" dxfId="216"/>
      <tableStyleElement type="secondRowStripe" dxfId="215"/>
    </tableStyle>
    <tableStyle name="DATA_DRAFT (EVALUATION)-style 3" pivot="0" count="2" xr9:uid="{00000000-0011-0000-FFFF-FFFFDF000000}">
      <tableStyleElement type="firstRowStripe" dxfId="214"/>
      <tableStyleElement type="secondRowStripe" dxfId="213"/>
    </tableStyle>
    <tableStyle name="DATA_DRAFT (EVALUATION)-style 4" pivot="0" count="2" xr9:uid="{00000000-0011-0000-FFFF-FFFFE0000000}">
      <tableStyleElement type="firstRowStripe" dxfId="212"/>
      <tableStyleElement type="secondRowStripe" dxfId="211"/>
    </tableStyle>
    <tableStyle name="DATA_DRAFT (EVALUATION)-style 5" pivot="0" count="2" xr9:uid="{00000000-0011-0000-FFFF-FFFFE1000000}">
      <tableStyleElement type="firstRowStripe" dxfId="210"/>
      <tableStyleElement type="secondRowStripe" dxfId="209"/>
    </tableStyle>
    <tableStyle name="DATA_DRAFT (EVALUATION)-style 6" pivot="0" count="2" xr9:uid="{00000000-0011-0000-FFFF-FFFFE2000000}">
      <tableStyleElement type="firstRowStripe" dxfId="208"/>
      <tableStyleElement type="secondRowStripe" dxfId="207"/>
    </tableStyle>
    <tableStyle name="DATA_DRAFT (EVALUATION)-style 7" pivot="0" count="2" xr9:uid="{00000000-0011-0000-FFFF-FFFFE3000000}">
      <tableStyleElement type="firstRowStripe" dxfId="206"/>
      <tableStyleElement type="secondRowStripe" dxfId="205"/>
    </tableStyle>
    <tableStyle name="DATA_DRAFT (EVALUATION)-style 8" pivot="0" count="2" xr9:uid="{00000000-0011-0000-FFFF-FFFFE4000000}">
      <tableStyleElement type="firstRowStripe" dxfId="204"/>
      <tableStyleElement type="secondRowStripe" dxfId="203"/>
    </tableStyle>
    <tableStyle name="DATA_DRAFT (EVALUATION)-style 9" pivot="0" count="2" xr9:uid="{00000000-0011-0000-FFFF-FFFFE5000000}">
      <tableStyleElement type="firstRowStripe" dxfId="202"/>
      <tableStyleElement type="secondRowStripe" dxfId="201"/>
    </tableStyle>
    <tableStyle name="DATA_DRAFT (EVALUATION)-style 10" pivot="0" count="2" xr9:uid="{00000000-0011-0000-FFFF-FFFFE6000000}">
      <tableStyleElement type="firstRowStripe" dxfId="200"/>
      <tableStyleElement type="secondRowStripe" dxfId="199"/>
    </tableStyle>
    <tableStyle name="DATA_DRAFT (EVALUATION)-style 11" pivot="0" count="2" xr9:uid="{00000000-0011-0000-FFFF-FFFFE7000000}">
      <tableStyleElement type="firstRowStripe" dxfId="198"/>
      <tableStyleElement type="secondRowStripe" dxfId="197"/>
    </tableStyle>
    <tableStyle name="DATA_DRAFT (EVALUATION)-style 12" pivot="0" count="2" xr9:uid="{00000000-0011-0000-FFFF-FFFFE8000000}">
      <tableStyleElement type="firstRowStripe" dxfId="196"/>
      <tableStyleElement type="secondRowStripe" dxfId="195"/>
    </tableStyle>
    <tableStyle name="DATA_DRAFT (EVALUATION)-style 13" pivot="0" count="2" xr9:uid="{00000000-0011-0000-FFFF-FFFFE9000000}">
      <tableStyleElement type="firstRowStripe" dxfId="194"/>
      <tableStyleElement type="secondRowStripe" dxfId="193"/>
    </tableStyle>
    <tableStyle name="DATA_DRAFT (EVALUATION)-style 14" pivot="0" count="2" xr9:uid="{00000000-0011-0000-FFFF-FFFFEA000000}">
      <tableStyleElement type="firstRowStripe" dxfId="192"/>
      <tableStyleElement type="secondRowStripe" dxfId="191"/>
    </tableStyle>
    <tableStyle name="DATA_DRAFT (EVALUATION)-style 15" pivot="0" count="2" xr9:uid="{00000000-0011-0000-FFFF-FFFFEB000000}">
      <tableStyleElement type="firstRowStripe" dxfId="190"/>
      <tableStyleElement type="secondRowStripe" dxfId="189"/>
    </tableStyle>
    <tableStyle name="DATA_DRAFT (EVALUATION)-style 16" pivot="0" count="2" xr9:uid="{00000000-0011-0000-FFFF-FFFFEC000000}">
      <tableStyleElement type="firstRowStripe" dxfId="188"/>
      <tableStyleElement type="secondRowStripe" dxfId="187"/>
    </tableStyle>
    <tableStyle name="DATA_DRAFT (EVALUATION)-style 17" pivot="0" count="2" xr9:uid="{00000000-0011-0000-FFFF-FFFFED000000}">
      <tableStyleElement type="firstRowStripe" dxfId="186"/>
      <tableStyleElement type="secondRowStripe" dxfId="185"/>
    </tableStyle>
    <tableStyle name="DATA_DRAFT (EVALUATION)-style 18" pivot="0" count="2" xr9:uid="{00000000-0011-0000-FFFF-FFFFEE000000}">
      <tableStyleElement type="firstRowStripe" dxfId="184"/>
      <tableStyleElement type="secondRowStripe" dxfId="183"/>
    </tableStyle>
    <tableStyle name="DATA_DRAFT (EVALUATION)-style 19" pivot="0" count="2" xr9:uid="{00000000-0011-0000-FFFF-FFFFEF000000}">
      <tableStyleElement type="firstRowStripe" dxfId="182"/>
      <tableStyleElement type="secondRowStripe" dxfId="181"/>
    </tableStyle>
    <tableStyle name="DATA_DRAFT (EVALUATION)-style 20" pivot="0" count="2" xr9:uid="{00000000-0011-0000-FFFF-FFFFF0000000}">
      <tableStyleElement type="firstRowStripe" dxfId="180"/>
      <tableStyleElement type="secondRowStripe" dxfId="179"/>
    </tableStyle>
    <tableStyle name="DATA_DRAFT (EVALUATION)-style 21" pivot="0" count="2" xr9:uid="{00000000-0011-0000-FFFF-FFFFF1000000}">
      <tableStyleElement type="firstRowStripe" dxfId="178"/>
      <tableStyleElement type="secondRowStripe" dxfId="177"/>
    </tableStyle>
    <tableStyle name="DATA_DRAFT (EVALUATION)-style 22" pivot="0" count="2" xr9:uid="{00000000-0011-0000-FFFF-FFFFF2000000}">
      <tableStyleElement type="firstRowStripe" dxfId="176"/>
      <tableStyleElement type="secondRowStripe" dxfId="175"/>
    </tableStyle>
    <tableStyle name="DATA_DRAFT (EVALUATION)-style 23" pivot="0" count="2" xr9:uid="{00000000-0011-0000-FFFF-FFFFF3000000}">
      <tableStyleElement type="firstRowStripe" dxfId="174"/>
      <tableStyleElement type="secondRowStripe" dxfId="173"/>
    </tableStyle>
    <tableStyle name="DATA_DRAFT (EVALUATION)-style 24" pivot="0" count="2" xr9:uid="{00000000-0011-0000-FFFF-FFFFF4000000}">
      <tableStyleElement type="firstRowStripe" dxfId="172"/>
      <tableStyleElement type="secondRowStripe" dxfId="171"/>
    </tableStyle>
    <tableStyle name="DATA_DRAFT (EVALUATION)-style 25" pivot="0" count="2" xr9:uid="{00000000-0011-0000-FFFF-FFFFF5000000}">
      <tableStyleElement type="firstRowStripe" dxfId="170"/>
      <tableStyleElement type="secondRowStripe" dxfId="169"/>
    </tableStyle>
    <tableStyle name="DATA_DRAFT (EVALUATION)-style 26" pivot="0" count="2" xr9:uid="{00000000-0011-0000-FFFF-FFFFF6000000}">
      <tableStyleElement type="firstRowStripe" dxfId="168"/>
      <tableStyleElement type="secondRowStripe" dxfId="167"/>
    </tableStyle>
    <tableStyle name="DATA_DRAFT (EVALUATION)-style 27" pivot="0" count="2" xr9:uid="{00000000-0011-0000-FFFF-FFFFF7000000}">
      <tableStyleElement type="firstRowStripe" dxfId="166"/>
      <tableStyleElement type="secondRowStripe" dxfId="165"/>
    </tableStyle>
    <tableStyle name="DATA_DRAFT (EVALUATION)-style 28" pivot="0" count="2" xr9:uid="{00000000-0011-0000-FFFF-FFFFF8000000}">
      <tableStyleElement type="firstRowStripe" dxfId="164"/>
      <tableStyleElement type="secondRowStripe" dxfId="163"/>
    </tableStyle>
    <tableStyle name="DATA_DRAFT (EVALUATION)-style 29" pivot="0" count="2" xr9:uid="{00000000-0011-0000-FFFF-FFFFF9000000}">
      <tableStyleElement type="firstRowStripe" dxfId="162"/>
      <tableStyleElement type="secondRowStripe" dxfId="161"/>
    </tableStyle>
    <tableStyle name="DATA_DRAFT (EVALUATION)-style 30" pivot="0" count="2" xr9:uid="{00000000-0011-0000-FFFF-FFFFFA000000}">
      <tableStyleElement type="firstRowStripe" dxfId="160"/>
      <tableStyleElement type="secondRowStripe" dxfId="159"/>
    </tableStyle>
    <tableStyle name="DATA_DRAFT (EVALUATION)-style 31" pivot="0" count="2" xr9:uid="{00000000-0011-0000-FFFF-FFFFFB000000}">
      <tableStyleElement type="firstRowStripe" dxfId="158"/>
      <tableStyleElement type="secondRowStripe" dxfId="157"/>
    </tableStyle>
    <tableStyle name="DATA_DRAFT (EVALUATION)-style 32" pivot="0" count="2" xr9:uid="{00000000-0011-0000-FFFF-FFFFFC000000}">
      <tableStyleElement type="firstRowStripe" dxfId="156"/>
      <tableStyleElement type="secondRowStripe" dxfId="155"/>
    </tableStyle>
    <tableStyle name="DATA_DRAFT (EVALUATION)-style 33" pivot="0" count="2" xr9:uid="{00000000-0011-0000-FFFF-FFFFFD000000}">
      <tableStyleElement type="firstRowStripe" dxfId="154"/>
      <tableStyleElement type="secondRowStripe" dxfId="153"/>
    </tableStyle>
    <tableStyle name="DATA_DRAFT (EVALUATION)-style 34" pivot="0" count="2" xr9:uid="{00000000-0011-0000-FFFF-FFFFFE000000}">
      <tableStyleElement type="firstRowStripe" dxfId="152"/>
      <tableStyleElement type="secondRowStripe" dxfId="151"/>
    </tableStyle>
    <tableStyle name="DATA_DRAFT (EVALUATION)-style 35" pivot="0" count="2" xr9:uid="{00000000-0011-0000-FFFF-FFFFFF000000}">
      <tableStyleElement type="firstRowStripe" dxfId="150"/>
      <tableStyleElement type="secondRowStripe" dxfId="149"/>
    </tableStyle>
    <tableStyle name="DATA_DRAFT (EVALUATION)-style 36" pivot="0" count="2" xr9:uid="{00000000-0011-0000-FFFF-FFFF00010000}">
      <tableStyleElement type="firstRowStripe" dxfId="148"/>
      <tableStyleElement type="secondRowStripe" dxfId="147"/>
    </tableStyle>
    <tableStyle name="DATA_DRAFT (EVALUATION)-style 37" pivot="0" count="2" xr9:uid="{00000000-0011-0000-FFFF-FFFF01010000}">
      <tableStyleElement type="firstRowStripe" dxfId="146"/>
      <tableStyleElement type="secondRowStripe" dxfId="145"/>
    </tableStyle>
    <tableStyle name="DATA_DRAFT (EVALUATION)-style 38" pivot="0" count="2" xr9:uid="{00000000-0011-0000-FFFF-FFFF02010000}">
      <tableStyleElement type="firstRowStripe" dxfId="144"/>
      <tableStyleElement type="secondRowStripe" dxfId="143"/>
    </tableStyle>
    <tableStyle name="DATA_DRAFT (EVALUATION)-style 39" pivot="0" count="2" xr9:uid="{00000000-0011-0000-FFFF-FFFF03010000}">
      <tableStyleElement type="firstRowStripe" dxfId="142"/>
      <tableStyleElement type="secondRowStripe" dxfId="141"/>
    </tableStyle>
    <tableStyle name="DATA_DRAFT (EVALUATION)-style 40" pivot="0" count="2" xr9:uid="{00000000-0011-0000-FFFF-FFFF04010000}">
      <tableStyleElement type="firstRowStripe" dxfId="140"/>
      <tableStyleElement type="secondRowStripe" dxfId="139"/>
    </tableStyle>
    <tableStyle name="DATA_DRAFT (EVALUATION)-style 41" pivot="0" count="2" xr9:uid="{00000000-0011-0000-FFFF-FFFF05010000}">
      <tableStyleElement type="firstRowStripe" dxfId="138"/>
      <tableStyleElement type="secondRowStripe" dxfId="137"/>
    </tableStyle>
    <tableStyle name="DATA_DRAFT (EVALUATION)-style 42" pivot="0" count="2" xr9:uid="{00000000-0011-0000-FFFF-FFFF06010000}">
      <tableStyleElement type="firstRowStripe" dxfId="136"/>
      <tableStyleElement type="secondRowStripe" dxfId="135"/>
    </tableStyle>
    <tableStyle name="DATA_DRAFT (EVALUATION)-style 43" pivot="0" count="2" xr9:uid="{00000000-0011-0000-FFFF-FFFF07010000}">
      <tableStyleElement type="firstRowStripe" dxfId="134"/>
      <tableStyleElement type="secondRowStripe" dxfId="133"/>
    </tableStyle>
    <tableStyle name="DATA_DRAFT (EVALUATION)-style 44" pivot="0" count="2" xr9:uid="{00000000-0011-0000-FFFF-FFFF08010000}">
      <tableStyleElement type="firstRowStripe" dxfId="132"/>
      <tableStyleElement type="secondRowStripe" dxfId="131"/>
    </tableStyle>
    <tableStyle name="DATA_DRAFT (EVALUATION)-style 45" pivot="0" count="2" xr9:uid="{00000000-0011-0000-FFFF-FFFF09010000}">
      <tableStyleElement type="firstRowStripe" dxfId="130"/>
      <tableStyleElement type="secondRowStripe" dxfId="129"/>
    </tableStyle>
    <tableStyle name="DATA_DRAFT (EVALUATION)-style 46" pivot="0" count="2" xr9:uid="{00000000-0011-0000-FFFF-FFFF0A010000}">
      <tableStyleElement type="firstRowStripe" dxfId="128"/>
      <tableStyleElement type="secondRowStripe" dxfId="127"/>
    </tableStyle>
    <tableStyle name="DATA_DRAFT (EVALUATION)-style 47" pivot="0" count="2" xr9:uid="{00000000-0011-0000-FFFF-FFFF0B010000}">
      <tableStyleElement type="firstRowStripe" dxfId="126"/>
      <tableStyleElement type="secondRowStripe" dxfId="125"/>
    </tableStyle>
    <tableStyle name="DATA_DRAFT (EVALUATION)-style 48" pivot="0" count="2" xr9:uid="{00000000-0011-0000-FFFF-FFFF0C010000}">
      <tableStyleElement type="firstRowStripe" dxfId="124"/>
      <tableStyleElement type="secondRowStripe" dxfId="123"/>
    </tableStyle>
    <tableStyle name="DATA_DRAFT (EVALUATION)-style 49" pivot="0" count="2" xr9:uid="{00000000-0011-0000-FFFF-FFFF0D010000}">
      <tableStyleElement type="firstRowStripe" dxfId="122"/>
      <tableStyleElement type="secondRowStripe" dxfId="121"/>
    </tableStyle>
    <tableStyle name="DATA_DRAFT (EVALUATION)-style 50" pivot="0" count="2" xr9:uid="{00000000-0011-0000-FFFF-FFFF0E010000}">
      <tableStyleElement type="firstRowStripe" dxfId="120"/>
      <tableStyleElement type="secondRowStripe" dxfId="119"/>
    </tableStyle>
    <tableStyle name="DATA_DRAFT (EVALUATION)-style 51" pivot="0" count="2" xr9:uid="{00000000-0011-0000-FFFF-FFFF0F010000}">
      <tableStyleElement type="firstRowStripe" dxfId="118"/>
      <tableStyleElement type="secondRowStripe" dxfId="117"/>
    </tableStyle>
    <tableStyle name="DATA_DRAFT (EVALUATION)-style 52" pivot="0" count="2" xr9:uid="{00000000-0011-0000-FFFF-FFFF10010000}">
      <tableStyleElement type="firstRowStripe" dxfId="116"/>
      <tableStyleElement type="secondRowStripe" dxfId="115"/>
    </tableStyle>
    <tableStyle name="DATA_DRAFT (EVALUATION)-style 53" pivot="0" count="2" xr9:uid="{00000000-0011-0000-FFFF-FFFF11010000}">
      <tableStyleElement type="firstRowStripe" dxfId="114"/>
      <tableStyleElement type="secondRowStripe" dxfId="113"/>
    </tableStyle>
    <tableStyle name="DATA_DRAFT (EVALUATION)-style 54" pivot="0" count="2" xr9:uid="{00000000-0011-0000-FFFF-FFFF12010000}">
      <tableStyleElement type="firstRowStripe" dxfId="112"/>
      <tableStyleElement type="secondRowStripe" dxfId="111"/>
    </tableStyle>
    <tableStyle name="DATA_DRAFT (EVALUATION)-style 55" pivot="0" count="2" xr9:uid="{00000000-0011-0000-FFFF-FFFF13010000}">
      <tableStyleElement type="firstRowStripe" dxfId="110"/>
      <tableStyleElement type="secondRowStripe" dxfId="109"/>
    </tableStyle>
    <tableStyle name="DATA_DRAFT (EVALUATION)-style 56" pivot="0" count="2" xr9:uid="{00000000-0011-0000-FFFF-FFFF14010000}">
      <tableStyleElement type="firstRowStripe" dxfId="108"/>
      <tableStyleElement type="secondRowStripe" dxfId="107"/>
    </tableStyle>
    <tableStyle name="DATA_DRAFT (EVALUATION)-style 57" pivot="0" count="2" xr9:uid="{00000000-0011-0000-FFFF-FFFF15010000}">
      <tableStyleElement type="firstRowStripe" dxfId="106"/>
      <tableStyleElement type="secondRowStripe" dxfId="105"/>
    </tableStyle>
    <tableStyle name="DATA_DRAFT (EVALUATION)-style 58" pivot="0" count="2" xr9:uid="{00000000-0011-0000-FFFF-FFFF16010000}">
      <tableStyleElement type="firstRowStripe" dxfId="104"/>
      <tableStyleElement type="secondRowStripe" dxfId="103"/>
    </tableStyle>
    <tableStyle name="DATA_DRAFT (EVALUATION)-style 59" pivot="0" count="2" xr9:uid="{00000000-0011-0000-FFFF-FFFF17010000}">
      <tableStyleElement type="firstRowStripe" dxfId="102"/>
      <tableStyleElement type="secondRowStripe" dxfId="101"/>
    </tableStyle>
    <tableStyle name="DATA_DRAFT (EVALUATION)-style 60" pivot="0" count="2" xr9:uid="{00000000-0011-0000-FFFF-FFFF18010000}">
      <tableStyleElement type="firstRowStripe" dxfId="100"/>
      <tableStyleElement type="secondRowStripe" dxfId="99"/>
    </tableStyle>
    <tableStyle name="DATA_DRAFT (EVALUATION)-style 61" pivot="0" count="2" xr9:uid="{00000000-0011-0000-FFFF-FFFF19010000}">
      <tableStyleElement type="firstRowStripe" dxfId="98"/>
      <tableStyleElement type="secondRowStripe" dxfId="97"/>
    </tableStyle>
    <tableStyle name="DATA_DRAFT (EVALUATION)-style 62" pivot="0" count="2" xr9:uid="{00000000-0011-0000-FFFF-FFFF1A010000}">
      <tableStyleElement type="firstRowStripe" dxfId="96"/>
      <tableStyleElement type="secondRowStripe" dxfId="95"/>
    </tableStyle>
    <tableStyle name="DATA_DRAFT (EVALUATION)-style 63" pivot="0" count="2" xr9:uid="{00000000-0011-0000-FFFF-FFFF1B010000}">
      <tableStyleElement type="firstRowStripe" dxfId="94"/>
      <tableStyleElement type="secondRowStripe" dxfId="93"/>
    </tableStyle>
    <tableStyle name="DATA_DRAFT (EVALUATION)-style 64" pivot="0" count="2" xr9:uid="{00000000-0011-0000-FFFF-FFFF1C010000}">
      <tableStyleElement type="firstRowStripe" dxfId="92"/>
      <tableStyleElement type="secondRowStripe" dxfId="91"/>
    </tableStyle>
    <tableStyle name="DATA_DRAFT (EVALUATION)-style 65" pivot="0" count="2" xr9:uid="{00000000-0011-0000-FFFF-FFFF1D010000}">
      <tableStyleElement type="firstRowStripe" dxfId="90"/>
      <tableStyleElement type="secondRowStripe" dxfId="89"/>
    </tableStyle>
    <tableStyle name="DATA_DRAFT (EVALUATION)-style 66" pivot="0" count="2" xr9:uid="{00000000-0011-0000-FFFF-FFFF1E010000}">
      <tableStyleElement type="firstRowStripe" dxfId="88"/>
      <tableStyleElement type="secondRowStripe" dxfId="87"/>
    </tableStyle>
    <tableStyle name="DATA_DRAFT (EVALUATION)-style 67" pivot="0" count="2" xr9:uid="{00000000-0011-0000-FFFF-FFFF1F010000}">
      <tableStyleElement type="firstRowStripe" dxfId="86"/>
      <tableStyleElement type="secondRowStripe" dxfId="85"/>
    </tableStyle>
    <tableStyle name="DATA_DRAFT (EVALUATION)-style 68" pivot="0" count="2" xr9:uid="{00000000-0011-0000-FFFF-FFFF20010000}">
      <tableStyleElement type="firstRowStripe" dxfId="84"/>
      <tableStyleElement type="secondRowStripe" dxfId="83"/>
    </tableStyle>
    <tableStyle name="DATA_DRAFT (EVALUATION)-style 69" pivot="0" count="2" xr9:uid="{00000000-0011-0000-FFFF-FFFF21010000}">
      <tableStyleElement type="firstRowStripe" dxfId="82"/>
      <tableStyleElement type="secondRowStripe" dxfId="81"/>
    </tableStyle>
    <tableStyle name="DATA_DRAFT (EVALUATION)-style 70" pivot="0" count="2" xr9:uid="{00000000-0011-0000-FFFF-FFFF22010000}">
      <tableStyleElement type="firstRowStripe" dxfId="80"/>
      <tableStyleElement type="secondRowStripe" dxfId="79"/>
    </tableStyle>
    <tableStyle name="DATA_DRAFT (EVALUATION)-style 71" pivot="0" count="2" xr9:uid="{00000000-0011-0000-FFFF-FFFF23010000}">
      <tableStyleElement type="firstRowStripe" dxfId="78"/>
      <tableStyleElement type="secondRowStripe" dxfId="77"/>
    </tableStyle>
    <tableStyle name="DATA_DRAFT (EVALUATION)-style 72" pivot="0" count="2" xr9:uid="{00000000-0011-0000-FFFF-FFFF24010000}">
      <tableStyleElement type="firstRowStripe" dxfId="76"/>
      <tableStyleElement type="secondRowStripe" dxfId="75"/>
    </tableStyle>
    <tableStyle name="DATA_DRAFT (EVALUATION)-style 73" pivot="0" count="2" xr9:uid="{00000000-0011-0000-FFFF-FFFF25010000}">
      <tableStyleElement type="firstRowStripe" dxfId="74"/>
      <tableStyleElement type="secondRowStripe" dxfId="73"/>
    </tableStyle>
    <tableStyle name="DATA_DRAFT (EVALUATION)-style 74" pivot="0" count="2" xr9:uid="{00000000-0011-0000-FFFF-FFFF26010000}">
      <tableStyleElement type="firstRowStripe" dxfId="72"/>
      <tableStyleElement type="secondRowStripe" dxfId="71"/>
    </tableStyle>
    <tableStyle name="DATA_DRAFT (EVALUATION)-style 75" pivot="0" count="2" xr9:uid="{00000000-0011-0000-FFFF-FFFF27010000}">
      <tableStyleElement type="firstRowStripe" dxfId="70"/>
      <tableStyleElement type="secondRowStripe" dxfId="69"/>
    </tableStyle>
    <tableStyle name="DATA_DRAFT (EVALUATION)-style 76" pivot="0" count="2" xr9:uid="{00000000-0011-0000-FFFF-FFFF28010000}">
      <tableStyleElement type="firstRowStripe" dxfId="68"/>
      <tableStyleElement type="secondRowStripe" dxfId="67"/>
    </tableStyle>
    <tableStyle name="DATA_DRAFT (EVALUATION)-style 77" pivot="0" count="2" xr9:uid="{00000000-0011-0000-FFFF-FFFF29010000}">
      <tableStyleElement type="firstRowStripe" dxfId="66"/>
      <tableStyleElement type="secondRowStripe" dxfId="65"/>
    </tableStyle>
    <tableStyle name="DATA_DRAFT (EVALUATION)-style 78" pivot="0" count="2" xr9:uid="{00000000-0011-0000-FFFF-FFFF2A010000}">
      <tableStyleElement type="firstRowStripe" dxfId="64"/>
      <tableStyleElement type="secondRowStripe" dxfId="63"/>
    </tableStyle>
    <tableStyle name="DATA_DRAFT (EVALUATION)-style 79" pivot="0" count="2" xr9:uid="{00000000-0011-0000-FFFF-FFFF2B010000}">
      <tableStyleElement type="firstRowStripe" dxfId="62"/>
      <tableStyleElement type="secondRowStripe" dxfId="61"/>
    </tableStyle>
    <tableStyle name="DATA_DRAFT (EVALUATION)-style 80" pivot="0" count="2" xr9:uid="{00000000-0011-0000-FFFF-FFFF2C010000}">
      <tableStyleElement type="firstRowStripe" dxfId="60"/>
      <tableStyleElement type="secondRowStripe" dxfId="59"/>
    </tableStyle>
    <tableStyle name="DATA_DRAFT (EVALUATION)-style 81" pivot="0" count="2" xr9:uid="{00000000-0011-0000-FFFF-FFFF2D010000}">
      <tableStyleElement type="firstRowStripe" dxfId="58"/>
      <tableStyleElement type="secondRowStripe" dxfId="57"/>
    </tableStyle>
    <tableStyle name="DATA_DRAFT (EVALUATION)-style 82" pivot="0" count="2" xr9:uid="{00000000-0011-0000-FFFF-FFFF2E010000}">
      <tableStyleElement type="firstRowStripe" dxfId="56"/>
      <tableStyleElement type="secondRowStripe" dxfId="55"/>
    </tableStyle>
    <tableStyle name="DATA_DRAFT (EVALUATION)-style 83" pivot="0" count="2" xr9:uid="{00000000-0011-0000-FFFF-FFFF2F010000}">
      <tableStyleElement type="firstRowStripe" dxfId="54"/>
      <tableStyleElement type="secondRowStripe" dxfId="53"/>
    </tableStyle>
    <tableStyle name="DATA_DRAFT (EVALUATION)-style 84" pivot="0" count="2" xr9:uid="{00000000-0011-0000-FFFF-FFFF30010000}">
      <tableStyleElement type="firstRowStripe" dxfId="52"/>
      <tableStyleElement type="secondRowStripe" dxfId="51"/>
    </tableStyle>
    <tableStyle name="DATA_DRAFT (EVALUATION)-style 85" pivot="0" count="2" xr9:uid="{00000000-0011-0000-FFFF-FFFF31010000}">
      <tableStyleElement type="firstRowStripe" dxfId="50"/>
      <tableStyleElement type="secondRowStripe" dxfId="49"/>
    </tableStyle>
    <tableStyle name="DATA_DRAFT (EVALUATION)-style 86" pivot="0" count="2" xr9:uid="{00000000-0011-0000-FFFF-FFFF32010000}">
      <tableStyleElement type="firstRowStripe" dxfId="48"/>
      <tableStyleElement type="secondRowStripe" dxfId="47"/>
    </tableStyle>
    <tableStyle name="DATA_DRAFT (EVALUATION)-style 87" pivot="0" count="2" xr9:uid="{00000000-0011-0000-FFFF-FFFF33010000}">
      <tableStyleElement type="firstRowStripe" dxfId="46"/>
      <tableStyleElement type="secondRowStripe" dxfId="45"/>
    </tableStyle>
    <tableStyle name="DATA_DRAFT (EVALUATION)-style 88" pivot="0" count="2" xr9:uid="{00000000-0011-0000-FFFF-FFFF34010000}">
      <tableStyleElement type="firstRowStripe" dxfId="44"/>
      <tableStyleElement type="secondRowStripe" dxfId="43"/>
    </tableStyle>
    <tableStyle name="DATA_DRAFT (EVALUATION)-style 89" pivot="0" count="2" xr9:uid="{00000000-0011-0000-FFFF-FFFF35010000}">
      <tableStyleElement type="firstRowStripe" dxfId="42"/>
      <tableStyleElement type="secondRowStripe" dxfId="41"/>
    </tableStyle>
    <tableStyle name="DATA_DRAFT (EVALUATION)-style 90" pivot="0" count="2" xr9:uid="{00000000-0011-0000-FFFF-FFFF36010000}">
      <tableStyleElement type="firstRowStripe" dxfId="40"/>
      <tableStyleElement type="secondRowStripe" dxfId="39"/>
    </tableStyle>
    <tableStyle name="DATA_DRAFT (EVALUATION)-style 91" pivot="0" count="2" xr9:uid="{00000000-0011-0000-FFFF-FFFF37010000}">
      <tableStyleElement type="firstRowStripe" dxfId="38"/>
      <tableStyleElement type="secondRowStripe" dxfId="37"/>
    </tableStyle>
    <tableStyle name="DATA_DRAFT (EVALUATION)-style 92" pivot="0" count="2" xr9:uid="{00000000-0011-0000-FFFF-FFFF38010000}">
      <tableStyleElement type="firstRowStripe" dxfId="36"/>
      <tableStyleElement type="secondRowStripe" dxfId="35"/>
    </tableStyle>
    <tableStyle name="DATA_DRAFT (EVALUATION)-style 93" pivot="0" count="2" xr9:uid="{00000000-0011-0000-FFFF-FFFF39010000}">
      <tableStyleElement type="firstRowStripe" dxfId="34"/>
      <tableStyleElement type="secondRowStripe" dxfId="33"/>
    </tableStyle>
    <tableStyle name="DATA_DRAFT (EVALUATION)-style 94" pivot="0" count="2" xr9:uid="{00000000-0011-0000-FFFF-FFFF3A010000}">
      <tableStyleElement type="firstRowStripe" dxfId="32"/>
      <tableStyleElement type="secondRowStripe" dxfId="31"/>
    </tableStyle>
    <tableStyle name="DATA_DRAFT (EVALUATION)-style 95" pivot="0" count="2" xr9:uid="{00000000-0011-0000-FFFF-FFFF3B010000}">
      <tableStyleElement type="firstRowStripe" dxfId="30"/>
      <tableStyleElement type="secondRowStripe" dxfId="29"/>
    </tableStyle>
    <tableStyle name="DATA_DRAFT (EVALUATION)-style 96" pivot="0" count="2" xr9:uid="{00000000-0011-0000-FFFF-FFFF3C010000}">
      <tableStyleElement type="firstRowStripe" dxfId="28"/>
      <tableStyleElement type="secondRowStripe" dxfId="27"/>
    </tableStyle>
    <tableStyle name="DATA_DRAFT (EVALUATION)-style 97" pivot="0" count="2" xr9:uid="{00000000-0011-0000-FFFF-FFFF3D010000}">
      <tableStyleElement type="firstRowStripe" dxfId="26"/>
      <tableStyleElement type="secondRowStripe" dxfId="25"/>
    </tableStyle>
    <tableStyle name="DATA_DRAFT (EVALUATION)-style 98" pivot="0" count="2" xr9:uid="{00000000-0011-0000-FFFF-FFFF3E010000}">
      <tableStyleElement type="firstRowStripe" dxfId="24"/>
      <tableStyleElement type="secondRowStripe" dxfId="23"/>
    </tableStyle>
    <tableStyle name="DATA_DRAFT (EVALUATION)-style 99" pivot="0" count="2" xr9:uid="{00000000-0011-0000-FFFF-FFFF3F010000}">
      <tableStyleElement type="firstRowStripe" dxfId="22"/>
      <tableStyleElement type="secondRowStripe" dxfId="21"/>
    </tableStyle>
    <tableStyle name="DATA_DRAFT (EVALUATION)-style 100" pivot="0" count="2" xr9:uid="{00000000-0011-0000-FFFF-FFFF40010000}">
      <tableStyleElement type="firstRowStripe" dxfId="20"/>
      <tableStyleElement type="secondRowStripe" dxfId="19"/>
    </tableStyle>
    <tableStyle name="DATA_DRAFT (EVALUATION)-style 101" pivot="0" count="2" xr9:uid="{00000000-0011-0000-FFFF-FFFF41010000}">
      <tableStyleElement type="firstRowStripe" dxfId="18"/>
      <tableStyleElement type="secondRowStripe" dxfId="17"/>
    </tableStyle>
    <tableStyle name="DATA_DRAFT (EVALUATION)-style 102" pivot="0" count="2" xr9:uid="{00000000-0011-0000-FFFF-FFFF42010000}">
      <tableStyleElement type="firstRowStripe" dxfId="16"/>
      <tableStyleElement type="secondRowStripe" dxfId="15"/>
    </tableStyle>
    <tableStyle name="DATA_DRAFT (EVALUATION)-style 103" pivot="0" count="2" xr9:uid="{00000000-0011-0000-FFFF-FFFF43010000}">
      <tableStyleElement type="firstRowStripe" dxfId="14"/>
      <tableStyleElement type="secondRowStripe" dxfId="13"/>
    </tableStyle>
    <tableStyle name="DATA_DRAFT (EVALUATION)-style 104" pivot="0" count="2" xr9:uid="{00000000-0011-0000-FFFF-FFFF44010000}">
      <tableStyleElement type="firstRowStripe" dxfId="12"/>
      <tableStyleElement type="secondRowStripe" dxfId="11"/>
    </tableStyle>
    <tableStyle name="DATA_DRAFT (EVALUATION)-style 105" pivot="0" count="2" xr9:uid="{00000000-0011-0000-FFFF-FFFF45010000}">
      <tableStyleElement type="firstRowStripe" dxfId="10"/>
      <tableStyleElement type="secondRowStripe" dxfId="9"/>
    </tableStyle>
    <tableStyle name="DATA_DRAFT (EVALUATION)-style 106" pivot="0" count="2" xr9:uid="{00000000-0011-0000-FFFF-FFFF46010000}">
      <tableStyleElement type="firstRowStripe" dxfId="8"/>
      <tableStyleElement type="secondRowStripe" dxfId="7"/>
    </tableStyle>
    <tableStyle name="DATA_DRAFT (EVALUATION)-style 107" pivot="0" count="2" xr9:uid="{00000000-0011-0000-FFFF-FFFF47010000}">
      <tableStyleElement type="firstRowStripe" dxfId="6"/>
      <tableStyleElement type="secondRowStripe" dxfId="5"/>
    </tableStyle>
    <tableStyle name="DATA_DRAFT (EVALUATION)-style 108" pivot="0" count="2" xr9:uid="{00000000-0011-0000-FFFF-FFFF48010000}">
      <tableStyleElement type="firstRowStripe" dxfId="4"/>
      <tableStyleElement type="secondRowStripe" dxfId="3"/>
    </tableStyle>
    <tableStyle name="DATA_DRAFT (EVALUATION)-style 109" pivot="0" count="2" xr9:uid="{00000000-0011-0000-FFFF-FFFF49010000}"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able1" displayName="Table1" ref="I1:CT1" headerRowCount="0">
  <tableColumns count="90">
    <tableColumn id="1" xr3:uid="{00000000-0010-0000-1A00-000001000000}" name="Column1"/>
    <tableColumn id="2" xr3:uid="{00000000-0010-0000-1A00-000002000000}" name="Column2"/>
    <tableColumn id="3" xr3:uid="{00000000-0010-0000-1A00-000003000000}" name="Column3"/>
    <tableColumn id="4" xr3:uid="{00000000-0010-0000-1A00-000004000000}" name="Column4"/>
    <tableColumn id="5" xr3:uid="{00000000-0010-0000-1A00-000005000000}" name="Column5"/>
    <tableColumn id="6" xr3:uid="{00000000-0010-0000-1A00-000006000000}" name="Column6"/>
    <tableColumn id="7" xr3:uid="{00000000-0010-0000-1A00-000007000000}" name="Column7"/>
    <tableColumn id="8" xr3:uid="{00000000-0010-0000-1A00-000008000000}" name="Column8"/>
    <tableColumn id="9" xr3:uid="{00000000-0010-0000-1A00-000009000000}" name="Column9"/>
    <tableColumn id="10" xr3:uid="{00000000-0010-0000-1A00-00000A000000}" name="Column10"/>
    <tableColumn id="11" xr3:uid="{00000000-0010-0000-1A00-00000B000000}" name="Column11"/>
    <tableColumn id="12" xr3:uid="{00000000-0010-0000-1A00-00000C000000}" name="Column12"/>
    <tableColumn id="13" xr3:uid="{00000000-0010-0000-1A00-00000D000000}" name="Column13"/>
    <tableColumn id="14" xr3:uid="{00000000-0010-0000-1A00-00000E000000}" name="Column14"/>
    <tableColumn id="15" xr3:uid="{00000000-0010-0000-1A00-00000F000000}" name="Column15"/>
    <tableColumn id="16" xr3:uid="{00000000-0010-0000-1A00-000010000000}" name="Column16"/>
    <tableColumn id="17" xr3:uid="{00000000-0010-0000-1A00-000011000000}" name="Column17"/>
    <tableColumn id="18" xr3:uid="{00000000-0010-0000-1A00-000012000000}" name="Column18"/>
    <tableColumn id="19" xr3:uid="{00000000-0010-0000-1A00-000013000000}" name="Column19"/>
    <tableColumn id="20" xr3:uid="{00000000-0010-0000-1A00-000014000000}" name="Column20"/>
    <tableColumn id="21" xr3:uid="{00000000-0010-0000-1A00-000015000000}" name="Column21"/>
    <tableColumn id="22" xr3:uid="{00000000-0010-0000-1A00-000016000000}" name="Column22"/>
    <tableColumn id="23" xr3:uid="{00000000-0010-0000-1A00-000017000000}" name="Column23"/>
    <tableColumn id="24" xr3:uid="{00000000-0010-0000-1A00-000018000000}" name="Column24"/>
    <tableColumn id="25" xr3:uid="{00000000-0010-0000-1A00-000019000000}" name="Column25"/>
    <tableColumn id="26" xr3:uid="{00000000-0010-0000-1A00-00001A000000}" name="Column26"/>
    <tableColumn id="27" xr3:uid="{00000000-0010-0000-1A00-00001B000000}" name="Column27"/>
    <tableColumn id="28" xr3:uid="{00000000-0010-0000-1A00-00001C000000}" name="Column28"/>
    <tableColumn id="29" xr3:uid="{00000000-0010-0000-1A00-00001D000000}" name="Column29"/>
    <tableColumn id="30" xr3:uid="{00000000-0010-0000-1A00-00001E000000}" name="Column30"/>
    <tableColumn id="31" xr3:uid="{00000000-0010-0000-1A00-00001F000000}" name="Column31"/>
    <tableColumn id="32" xr3:uid="{00000000-0010-0000-1A00-000020000000}" name="Column32"/>
    <tableColumn id="33" xr3:uid="{00000000-0010-0000-1A00-000021000000}" name="Column33"/>
    <tableColumn id="34" xr3:uid="{00000000-0010-0000-1A00-000022000000}" name="Column34"/>
    <tableColumn id="35" xr3:uid="{00000000-0010-0000-1A00-000023000000}" name="Column35"/>
    <tableColumn id="36" xr3:uid="{00000000-0010-0000-1A00-000024000000}" name="Column36"/>
    <tableColumn id="37" xr3:uid="{00000000-0010-0000-1A00-000025000000}" name="Column37"/>
    <tableColumn id="38" xr3:uid="{00000000-0010-0000-1A00-000026000000}" name="Column38"/>
    <tableColumn id="39" xr3:uid="{00000000-0010-0000-1A00-000027000000}" name="Column39"/>
    <tableColumn id="40" xr3:uid="{00000000-0010-0000-1A00-000028000000}" name="Column40"/>
    <tableColumn id="41" xr3:uid="{00000000-0010-0000-1A00-000029000000}" name="Column41"/>
    <tableColumn id="42" xr3:uid="{00000000-0010-0000-1A00-00002A000000}" name="Column42"/>
    <tableColumn id="43" xr3:uid="{00000000-0010-0000-1A00-00002B000000}" name="Column43"/>
    <tableColumn id="44" xr3:uid="{00000000-0010-0000-1A00-00002C000000}" name="Column44"/>
    <tableColumn id="45" xr3:uid="{00000000-0010-0000-1A00-00002D000000}" name="Column45"/>
    <tableColumn id="46" xr3:uid="{00000000-0010-0000-1A00-00002E000000}" name="Column46"/>
    <tableColumn id="47" xr3:uid="{00000000-0010-0000-1A00-00002F000000}" name="Column47"/>
    <tableColumn id="48" xr3:uid="{00000000-0010-0000-1A00-000030000000}" name="Column48"/>
    <tableColumn id="49" xr3:uid="{00000000-0010-0000-1A00-000031000000}" name="Column49"/>
    <tableColumn id="50" xr3:uid="{00000000-0010-0000-1A00-000032000000}" name="Column50"/>
    <tableColumn id="51" xr3:uid="{00000000-0010-0000-1A00-000033000000}" name="Column51"/>
    <tableColumn id="52" xr3:uid="{00000000-0010-0000-1A00-000034000000}" name="Column52"/>
    <tableColumn id="53" xr3:uid="{00000000-0010-0000-1A00-000035000000}" name="Column53"/>
    <tableColumn id="54" xr3:uid="{00000000-0010-0000-1A00-000036000000}" name="Column54"/>
    <tableColumn id="55" xr3:uid="{00000000-0010-0000-1A00-000037000000}" name="Column55"/>
    <tableColumn id="56" xr3:uid="{00000000-0010-0000-1A00-000038000000}" name="Column56"/>
    <tableColumn id="57" xr3:uid="{00000000-0010-0000-1A00-000039000000}" name="Column57"/>
    <tableColumn id="58" xr3:uid="{00000000-0010-0000-1A00-00003A000000}" name="Column58"/>
    <tableColumn id="59" xr3:uid="{00000000-0010-0000-1A00-00003B000000}" name="Column59"/>
    <tableColumn id="60" xr3:uid="{00000000-0010-0000-1A00-00003C000000}" name="Column60"/>
    <tableColumn id="61" xr3:uid="{00000000-0010-0000-1A00-00003D000000}" name="Column61"/>
    <tableColumn id="62" xr3:uid="{00000000-0010-0000-1A00-00003E000000}" name="Column62"/>
    <tableColumn id="63" xr3:uid="{00000000-0010-0000-1A00-00003F000000}" name="Column63"/>
    <tableColumn id="64" xr3:uid="{00000000-0010-0000-1A00-000040000000}" name="Column64"/>
    <tableColumn id="65" xr3:uid="{00000000-0010-0000-1A00-000041000000}" name="Column65"/>
    <tableColumn id="66" xr3:uid="{00000000-0010-0000-1A00-000042000000}" name="Column66"/>
    <tableColumn id="67" xr3:uid="{00000000-0010-0000-1A00-000043000000}" name="Column67"/>
    <tableColumn id="68" xr3:uid="{00000000-0010-0000-1A00-000044000000}" name="Column68"/>
    <tableColumn id="69" xr3:uid="{00000000-0010-0000-1A00-000045000000}" name="Column69"/>
    <tableColumn id="70" xr3:uid="{00000000-0010-0000-1A00-000046000000}" name="Column70"/>
    <tableColumn id="71" xr3:uid="{00000000-0010-0000-1A00-000047000000}" name="Column71"/>
    <tableColumn id="72" xr3:uid="{00000000-0010-0000-1A00-000048000000}" name="Column72"/>
    <tableColumn id="73" xr3:uid="{00000000-0010-0000-1A00-000049000000}" name="Column73"/>
    <tableColumn id="74" xr3:uid="{00000000-0010-0000-1A00-00004A000000}" name="Column74"/>
    <tableColumn id="75" xr3:uid="{00000000-0010-0000-1A00-00004B000000}" name="Column75"/>
    <tableColumn id="76" xr3:uid="{00000000-0010-0000-1A00-00004C000000}" name="Column76"/>
    <tableColumn id="77" xr3:uid="{00000000-0010-0000-1A00-00004D000000}" name="Column77"/>
    <tableColumn id="78" xr3:uid="{00000000-0010-0000-1A00-00004E000000}" name="Column78"/>
    <tableColumn id="79" xr3:uid="{00000000-0010-0000-1A00-00004F000000}" name="Column79"/>
    <tableColumn id="80" xr3:uid="{00000000-0010-0000-1A00-000050000000}" name="Column80"/>
    <tableColumn id="81" xr3:uid="{00000000-0010-0000-1A00-000051000000}" name="Column81"/>
    <tableColumn id="82" xr3:uid="{00000000-0010-0000-1A00-000052000000}" name="Column82"/>
    <tableColumn id="83" xr3:uid="{00000000-0010-0000-1A00-000053000000}" name="Column83"/>
    <tableColumn id="84" xr3:uid="{00000000-0010-0000-1A00-000054000000}" name="Column84"/>
    <tableColumn id="85" xr3:uid="{00000000-0010-0000-1A00-000055000000}" name="Column85"/>
    <tableColumn id="86" xr3:uid="{00000000-0010-0000-1A00-000056000000}" name="Column86"/>
    <tableColumn id="87" xr3:uid="{00000000-0010-0000-1A00-000057000000}" name="Column87"/>
    <tableColumn id="88" xr3:uid="{00000000-0010-0000-1A00-000058000000}" name="Column88"/>
    <tableColumn id="89" xr3:uid="{00000000-0010-0000-1A00-000059000000}" name="Column89"/>
    <tableColumn id="90" xr3:uid="{00000000-0010-0000-1A00-00005A000000}" name="Column90"/>
  </tableColumns>
  <tableStyleInfo name="DATA_MODEL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able_26" displayName="Table_26" ref="A2:G2" headerRowCount="0">
  <tableColumns count="7">
    <tableColumn id="1" xr3:uid="{00000000-0010-0000-1B00-000001000000}" name="Column1"/>
    <tableColumn id="2" xr3:uid="{00000000-0010-0000-1B00-000002000000}" name="Column2"/>
    <tableColumn id="3" xr3:uid="{00000000-0010-0000-1B00-000003000000}" name="Column3"/>
    <tableColumn id="4" xr3:uid="{00000000-0010-0000-1B00-000004000000}" name="Column4"/>
    <tableColumn id="5" xr3:uid="{00000000-0010-0000-1B00-000005000000}" name="Column5"/>
    <tableColumn id="6" xr3:uid="{00000000-0010-0000-1B00-000006000000}" name="Column6"/>
    <tableColumn id="7" xr3:uid="{00000000-0010-0000-1B00-000007000000}" name="Column7"/>
  </tableColumns>
  <tableStyleInfo name="DATA_MODEL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Table_27" displayName="Table_27" ref="A3:H3" headerRowCount="0">
  <tableColumns count="8">
    <tableColumn id="1" xr3:uid="{00000000-0010-0000-1C00-000001000000}" name="Column1"/>
    <tableColumn id="2" xr3:uid="{00000000-0010-0000-1C00-000002000000}" name="Column2"/>
    <tableColumn id="3" xr3:uid="{00000000-0010-0000-1C00-000003000000}" name="Column3"/>
    <tableColumn id="4" xr3:uid="{00000000-0010-0000-1C00-000004000000}" name="Column4"/>
    <tableColumn id="5" xr3:uid="{00000000-0010-0000-1C00-000005000000}" name="Column5"/>
    <tableColumn id="6" xr3:uid="{00000000-0010-0000-1C00-000006000000}" name="Column6"/>
    <tableColumn id="7" xr3:uid="{00000000-0010-0000-1C00-000007000000}" name="Column7"/>
    <tableColumn id="8" xr3:uid="{00000000-0010-0000-1C00-000008000000}" name="Column8"/>
  </tableColumns>
  <tableStyleInfo name="DATA_MODEL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Table_28" displayName="Table_28" ref="A4:H4" headerRowCount="0">
  <tableColumns count="8">
    <tableColumn id="1" xr3:uid="{00000000-0010-0000-1D00-000001000000}" name="Column1"/>
    <tableColumn id="2" xr3:uid="{00000000-0010-0000-1D00-000002000000}" name="Column2"/>
    <tableColumn id="3" xr3:uid="{00000000-0010-0000-1D00-000003000000}" name="Column3"/>
    <tableColumn id="4" xr3:uid="{00000000-0010-0000-1D00-000004000000}" name="Column4"/>
    <tableColumn id="5" xr3:uid="{00000000-0010-0000-1D00-000005000000}" name="Column5"/>
    <tableColumn id="6" xr3:uid="{00000000-0010-0000-1D00-000006000000}" name="Column6"/>
    <tableColumn id="7" xr3:uid="{00000000-0010-0000-1D00-000007000000}" name="Column7"/>
    <tableColumn id="8" xr3:uid="{00000000-0010-0000-1D00-000008000000}" name="Column8"/>
  </tableColumns>
  <tableStyleInfo name="DATA_MODEL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Table_29" displayName="Table_29" ref="A5:H5" headerRowCount="0">
  <tableColumns count="8">
    <tableColumn id="1" xr3:uid="{00000000-0010-0000-1E00-000001000000}" name="Column1"/>
    <tableColumn id="2" xr3:uid="{00000000-0010-0000-1E00-000002000000}" name="Column2"/>
    <tableColumn id="3" xr3:uid="{00000000-0010-0000-1E00-000003000000}" name="Column3"/>
    <tableColumn id="4" xr3:uid="{00000000-0010-0000-1E00-000004000000}" name="Column4"/>
    <tableColumn id="5" xr3:uid="{00000000-0010-0000-1E00-000005000000}" name="Column5"/>
    <tableColumn id="6" xr3:uid="{00000000-0010-0000-1E00-000006000000}" name="Column6"/>
    <tableColumn id="7" xr3:uid="{00000000-0010-0000-1E00-000007000000}" name="Column7"/>
    <tableColumn id="8" xr3:uid="{40AE74D7-EF93-46FE-A459-9E05BA771EFF}" name="Column8" dataDxfId="0"/>
  </tableColumns>
  <tableStyleInfo name="DATA_MODEL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Table_30" displayName="Table_30" ref="I6:CT6" headerRowCount="0">
  <tableColumns count="90">
    <tableColumn id="1" xr3:uid="{00000000-0010-0000-1F00-000001000000}" name="Column1"/>
    <tableColumn id="2" xr3:uid="{00000000-0010-0000-1F00-000002000000}" name="Column2"/>
    <tableColumn id="3" xr3:uid="{00000000-0010-0000-1F00-000003000000}" name="Column3"/>
    <tableColumn id="4" xr3:uid="{00000000-0010-0000-1F00-000004000000}" name="Column4"/>
    <tableColumn id="5" xr3:uid="{00000000-0010-0000-1F00-000005000000}" name="Column5"/>
    <tableColumn id="6" xr3:uid="{00000000-0010-0000-1F00-000006000000}" name="Column6"/>
    <tableColumn id="7" xr3:uid="{00000000-0010-0000-1F00-000007000000}" name="Column7"/>
    <tableColumn id="8" xr3:uid="{00000000-0010-0000-1F00-000008000000}" name="Column8"/>
    <tableColumn id="9" xr3:uid="{00000000-0010-0000-1F00-000009000000}" name="Column9"/>
    <tableColumn id="10" xr3:uid="{00000000-0010-0000-1F00-00000A000000}" name="Column10"/>
    <tableColumn id="11" xr3:uid="{00000000-0010-0000-1F00-00000B000000}" name="Column11"/>
    <tableColumn id="12" xr3:uid="{00000000-0010-0000-1F00-00000C000000}" name="Column12"/>
    <tableColumn id="13" xr3:uid="{00000000-0010-0000-1F00-00000D000000}" name="Column13"/>
    <tableColumn id="14" xr3:uid="{00000000-0010-0000-1F00-00000E000000}" name="Column14"/>
    <tableColumn id="15" xr3:uid="{00000000-0010-0000-1F00-00000F000000}" name="Column15"/>
    <tableColumn id="16" xr3:uid="{00000000-0010-0000-1F00-000010000000}" name="Column16"/>
    <tableColumn id="17" xr3:uid="{00000000-0010-0000-1F00-000011000000}" name="Column17"/>
    <tableColumn id="18" xr3:uid="{00000000-0010-0000-1F00-000012000000}" name="Column18"/>
    <tableColumn id="19" xr3:uid="{00000000-0010-0000-1F00-000013000000}" name="Column19"/>
    <tableColumn id="20" xr3:uid="{00000000-0010-0000-1F00-000014000000}" name="Column20"/>
    <tableColumn id="21" xr3:uid="{00000000-0010-0000-1F00-000015000000}" name="Column21"/>
    <tableColumn id="22" xr3:uid="{00000000-0010-0000-1F00-000016000000}" name="Column22"/>
    <tableColumn id="23" xr3:uid="{00000000-0010-0000-1F00-000017000000}" name="Column23"/>
    <tableColumn id="24" xr3:uid="{00000000-0010-0000-1F00-000018000000}" name="Column24"/>
    <tableColumn id="25" xr3:uid="{00000000-0010-0000-1F00-000019000000}" name="Column25"/>
    <tableColumn id="26" xr3:uid="{00000000-0010-0000-1F00-00001A000000}" name="Column26"/>
    <tableColumn id="27" xr3:uid="{00000000-0010-0000-1F00-00001B000000}" name="Column27"/>
    <tableColumn id="28" xr3:uid="{00000000-0010-0000-1F00-00001C000000}" name="Column28"/>
    <tableColumn id="29" xr3:uid="{00000000-0010-0000-1F00-00001D000000}" name="Column29"/>
    <tableColumn id="30" xr3:uid="{00000000-0010-0000-1F00-00001E000000}" name="Column30"/>
    <tableColumn id="31" xr3:uid="{00000000-0010-0000-1F00-00001F000000}" name="Column31"/>
    <tableColumn id="32" xr3:uid="{00000000-0010-0000-1F00-000020000000}" name="Column32"/>
    <tableColumn id="33" xr3:uid="{00000000-0010-0000-1F00-000021000000}" name="Column33"/>
    <tableColumn id="34" xr3:uid="{00000000-0010-0000-1F00-000022000000}" name="Column34"/>
    <tableColumn id="35" xr3:uid="{00000000-0010-0000-1F00-000023000000}" name="Column35"/>
    <tableColumn id="36" xr3:uid="{00000000-0010-0000-1F00-000024000000}" name="Column36"/>
    <tableColumn id="37" xr3:uid="{00000000-0010-0000-1F00-000025000000}" name="Column37"/>
    <tableColumn id="38" xr3:uid="{00000000-0010-0000-1F00-000026000000}" name="Column38"/>
    <tableColumn id="39" xr3:uid="{00000000-0010-0000-1F00-000027000000}" name="Column39"/>
    <tableColumn id="40" xr3:uid="{00000000-0010-0000-1F00-000028000000}" name="Column40"/>
    <tableColumn id="41" xr3:uid="{00000000-0010-0000-1F00-000029000000}" name="Column41"/>
    <tableColumn id="42" xr3:uid="{00000000-0010-0000-1F00-00002A000000}" name="Column42"/>
    <tableColumn id="43" xr3:uid="{00000000-0010-0000-1F00-00002B000000}" name="Column43"/>
    <tableColumn id="44" xr3:uid="{00000000-0010-0000-1F00-00002C000000}" name="Column44"/>
    <tableColumn id="45" xr3:uid="{00000000-0010-0000-1F00-00002D000000}" name="Column45"/>
    <tableColumn id="46" xr3:uid="{00000000-0010-0000-1F00-00002E000000}" name="Column46"/>
    <tableColumn id="47" xr3:uid="{00000000-0010-0000-1F00-00002F000000}" name="Column47"/>
    <tableColumn id="48" xr3:uid="{00000000-0010-0000-1F00-000030000000}" name="Column48"/>
    <tableColumn id="49" xr3:uid="{00000000-0010-0000-1F00-000031000000}" name="Column49"/>
    <tableColumn id="50" xr3:uid="{00000000-0010-0000-1F00-000032000000}" name="Column50"/>
    <tableColumn id="51" xr3:uid="{00000000-0010-0000-1F00-000033000000}" name="Column51"/>
    <tableColumn id="52" xr3:uid="{00000000-0010-0000-1F00-000034000000}" name="Column52"/>
    <tableColumn id="53" xr3:uid="{00000000-0010-0000-1F00-000035000000}" name="Column53"/>
    <tableColumn id="54" xr3:uid="{00000000-0010-0000-1F00-000036000000}" name="Column54"/>
    <tableColumn id="55" xr3:uid="{00000000-0010-0000-1F00-000037000000}" name="Column55"/>
    <tableColumn id="56" xr3:uid="{00000000-0010-0000-1F00-000038000000}" name="Column56"/>
    <tableColumn id="57" xr3:uid="{00000000-0010-0000-1F00-000039000000}" name="Column57"/>
    <tableColumn id="58" xr3:uid="{00000000-0010-0000-1F00-00003A000000}" name="Column58"/>
    <tableColumn id="59" xr3:uid="{00000000-0010-0000-1F00-00003B000000}" name="Column59"/>
    <tableColumn id="60" xr3:uid="{00000000-0010-0000-1F00-00003C000000}" name="Column60"/>
    <tableColumn id="61" xr3:uid="{00000000-0010-0000-1F00-00003D000000}" name="Column61"/>
    <tableColumn id="62" xr3:uid="{00000000-0010-0000-1F00-00003E000000}" name="Column62"/>
    <tableColumn id="63" xr3:uid="{00000000-0010-0000-1F00-00003F000000}" name="Column63"/>
    <tableColumn id="64" xr3:uid="{00000000-0010-0000-1F00-000040000000}" name="Column64"/>
    <tableColumn id="65" xr3:uid="{00000000-0010-0000-1F00-000041000000}" name="Column65"/>
    <tableColumn id="66" xr3:uid="{00000000-0010-0000-1F00-000042000000}" name="Column66"/>
    <tableColumn id="67" xr3:uid="{00000000-0010-0000-1F00-000043000000}" name="Column67"/>
    <tableColumn id="68" xr3:uid="{00000000-0010-0000-1F00-000044000000}" name="Column68"/>
    <tableColumn id="69" xr3:uid="{00000000-0010-0000-1F00-000045000000}" name="Column69"/>
    <tableColumn id="70" xr3:uid="{00000000-0010-0000-1F00-000046000000}" name="Column70"/>
    <tableColumn id="71" xr3:uid="{00000000-0010-0000-1F00-000047000000}" name="Column71"/>
    <tableColumn id="72" xr3:uid="{00000000-0010-0000-1F00-000048000000}" name="Column72"/>
    <tableColumn id="73" xr3:uid="{00000000-0010-0000-1F00-000049000000}" name="Column73"/>
    <tableColumn id="74" xr3:uid="{00000000-0010-0000-1F00-00004A000000}" name="Column74"/>
    <tableColumn id="75" xr3:uid="{00000000-0010-0000-1F00-00004B000000}" name="Column75"/>
    <tableColumn id="76" xr3:uid="{00000000-0010-0000-1F00-00004C000000}" name="Column76"/>
    <tableColumn id="77" xr3:uid="{00000000-0010-0000-1F00-00004D000000}" name="Column77"/>
    <tableColumn id="78" xr3:uid="{00000000-0010-0000-1F00-00004E000000}" name="Column78"/>
    <tableColumn id="79" xr3:uid="{00000000-0010-0000-1F00-00004F000000}" name="Column79"/>
    <tableColumn id="80" xr3:uid="{00000000-0010-0000-1F00-000050000000}" name="Column80"/>
    <tableColumn id="81" xr3:uid="{00000000-0010-0000-1F00-000051000000}" name="Column81"/>
    <tableColumn id="82" xr3:uid="{00000000-0010-0000-1F00-000052000000}" name="Column82"/>
    <tableColumn id="83" xr3:uid="{00000000-0010-0000-1F00-000053000000}" name="Column83"/>
    <tableColumn id="84" xr3:uid="{00000000-0010-0000-1F00-000054000000}" name="Column84"/>
    <tableColumn id="85" xr3:uid="{00000000-0010-0000-1F00-000055000000}" name="Column85"/>
    <tableColumn id="86" xr3:uid="{00000000-0010-0000-1F00-000056000000}" name="Column86"/>
    <tableColumn id="87" xr3:uid="{00000000-0010-0000-1F00-000057000000}" name="Column87"/>
    <tableColumn id="88" xr3:uid="{00000000-0010-0000-1F00-000058000000}" name="Column88"/>
    <tableColumn id="89" xr3:uid="{00000000-0010-0000-1F00-000059000000}" name="Column89"/>
    <tableColumn id="90" xr3:uid="{00000000-0010-0000-1F00-00005A000000}" name="Column90"/>
  </tableColumns>
  <tableStyleInfo name="DATA_MODEL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Table_31" displayName="Table_31" ref="A7:E7" headerRowCount="0">
  <tableColumns count="5">
    <tableColumn id="1" xr3:uid="{00000000-0010-0000-2000-000001000000}" name="Column1"/>
    <tableColumn id="2" xr3:uid="{00000000-0010-0000-2000-000002000000}" name="Column2"/>
    <tableColumn id="3" xr3:uid="{00000000-0010-0000-2000-000003000000}" name="Column3"/>
    <tableColumn id="4" xr3:uid="{00000000-0010-0000-2000-000004000000}" name="Column4"/>
    <tableColumn id="5" xr3:uid="{00000000-0010-0000-2000-000005000000}" name="Column5"/>
  </tableColumns>
  <tableStyleInfo name="DATA_MODEL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Table_32" displayName="Table_32" ref="I8:CT8" headerRowCount="0">
  <tableColumns count="90">
    <tableColumn id="1" xr3:uid="{00000000-0010-0000-2100-000001000000}" name="Column1"/>
    <tableColumn id="2" xr3:uid="{00000000-0010-0000-2100-000002000000}" name="Column2"/>
    <tableColumn id="3" xr3:uid="{00000000-0010-0000-2100-000003000000}" name="Column3"/>
    <tableColumn id="4" xr3:uid="{00000000-0010-0000-2100-000004000000}" name="Column4"/>
    <tableColumn id="5" xr3:uid="{00000000-0010-0000-2100-000005000000}" name="Column5"/>
    <tableColumn id="6" xr3:uid="{00000000-0010-0000-2100-000006000000}" name="Column6"/>
    <tableColumn id="7" xr3:uid="{00000000-0010-0000-2100-000007000000}" name="Column7"/>
    <tableColumn id="8" xr3:uid="{00000000-0010-0000-2100-000008000000}" name="Column8"/>
    <tableColumn id="9" xr3:uid="{00000000-0010-0000-2100-000009000000}" name="Column9"/>
    <tableColumn id="10" xr3:uid="{00000000-0010-0000-2100-00000A000000}" name="Column10"/>
    <tableColumn id="11" xr3:uid="{00000000-0010-0000-2100-00000B000000}" name="Column11"/>
    <tableColumn id="12" xr3:uid="{00000000-0010-0000-2100-00000C000000}" name="Column12"/>
    <tableColumn id="13" xr3:uid="{00000000-0010-0000-2100-00000D000000}" name="Column13"/>
    <tableColumn id="14" xr3:uid="{00000000-0010-0000-2100-00000E000000}" name="Column14"/>
    <tableColumn id="15" xr3:uid="{00000000-0010-0000-2100-00000F000000}" name="Column15"/>
    <tableColumn id="16" xr3:uid="{00000000-0010-0000-2100-000010000000}" name="Column16"/>
    <tableColumn id="17" xr3:uid="{00000000-0010-0000-2100-000011000000}" name="Column17"/>
    <tableColumn id="18" xr3:uid="{00000000-0010-0000-2100-000012000000}" name="Column18"/>
    <tableColumn id="19" xr3:uid="{00000000-0010-0000-2100-000013000000}" name="Column19"/>
    <tableColumn id="20" xr3:uid="{00000000-0010-0000-2100-000014000000}" name="Column20"/>
    <tableColumn id="21" xr3:uid="{00000000-0010-0000-2100-000015000000}" name="Column21"/>
    <tableColumn id="22" xr3:uid="{00000000-0010-0000-2100-000016000000}" name="Column22"/>
    <tableColumn id="23" xr3:uid="{00000000-0010-0000-2100-000017000000}" name="Column23"/>
    <tableColumn id="24" xr3:uid="{00000000-0010-0000-2100-000018000000}" name="Column24"/>
    <tableColumn id="25" xr3:uid="{00000000-0010-0000-2100-000019000000}" name="Column25"/>
    <tableColumn id="26" xr3:uid="{00000000-0010-0000-2100-00001A000000}" name="Column26"/>
    <tableColumn id="27" xr3:uid="{00000000-0010-0000-2100-00001B000000}" name="Column27"/>
    <tableColumn id="28" xr3:uid="{00000000-0010-0000-2100-00001C000000}" name="Column28"/>
    <tableColumn id="29" xr3:uid="{00000000-0010-0000-2100-00001D000000}" name="Column29"/>
    <tableColumn id="30" xr3:uid="{00000000-0010-0000-2100-00001E000000}" name="Column30"/>
    <tableColumn id="31" xr3:uid="{00000000-0010-0000-2100-00001F000000}" name="Column31"/>
    <tableColumn id="32" xr3:uid="{00000000-0010-0000-2100-000020000000}" name="Column32"/>
    <tableColumn id="33" xr3:uid="{00000000-0010-0000-2100-000021000000}" name="Column33"/>
    <tableColumn id="34" xr3:uid="{00000000-0010-0000-2100-000022000000}" name="Column34"/>
    <tableColumn id="35" xr3:uid="{00000000-0010-0000-2100-000023000000}" name="Column35"/>
    <tableColumn id="36" xr3:uid="{00000000-0010-0000-2100-000024000000}" name="Column36"/>
    <tableColumn id="37" xr3:uid="{00000000-0010-0000-2100-000025000000}" name="Column37"/>
    <tableColumn id="38" xr3:uid="{00000000-0010-0000-2100-000026000000}" name="Column38"/>
    <tableColumn id="39" xr3:uid="{00000000-0010-0000-2100-000027000000}" name="Column39"/>
    <tableColumn id="40" xr3:uid="{00000000-0010-0000-2100-000028000000}" name="Column40"/>
    <tableColumn id="41" xr3:uid="{00000000-0010-0000-2100-000029000000}" name="Column41"/>
    <tableColumn id="42" xr3:uid="{00000000-0010-0000-2100-00002A000000}" name="Column42"/>
    <tableColumn id="43" xr3:uid="{00000000-0010-0000-2100-00002B000000}" name="Column43"/>
    <tableColumn id="44" xr3:uid="{00000000-0010-0000-2100-00002C000000}" name="Column44"/>
    <tableColumn id="45" xr3:uid="{00000000-0010-0000-2100-00002D000000}" name="Column45"/>
    <tableColumn id="46" xr3:uid="{00000000-0010-0000-2100-00002E000000}" name="Column46"/>
    <tableColumn id="47" xr3:uid="{00000000-0010-0000-2100-00002F000000}" name="Column47"/>
    <tableColumn id="48" xr3:uid="{00000000-0010-0000-2100-000030000000}" name="Column48"/>
    <tableColumn id="49" xr3:uid="{00000000-0010-0000-2100-000031000000}" name="Column49"/>
    <tableColumn id="50" xr3:uid="{00000000-0010-0000-2100-000032000000}" name="Column50"/>
    <tableColumn id="51" xr3:uid="{00000000-0010-0000-2100-000033000000}" name="Column51"/>
    <tableColumn id="52" xr3:uid="{00000000-0010-0000-2100-000034000000}" name="Column52"/>
    <tableColumn id="53" xr3:uid="{00000000-0010-0000-2100-000035000000}" name="Column53"/>
    <tableColumn id="54" xr3:uid="{00000000-0010-0000-2100-000036000000}" name="Column54"/>
    <tableColumn id="55" xr3:uid="{00000000-0010-0000-2100-000037000000}" name="Column55"/>
    <tableColumn id="56" xr3:uid="{00000000-0010-0000-2100-000038000000}" name="Column56"/>
    <tableColumn id="57" xr3:uid="{00000000-0010-0000-2100-000039000000}" name="Column57"/>
    <tableColumn id="58" xr3:uid="{00000000-0010-0000-2100-00003A000000}" name="Column58"/>
    <tableColumn id="59" xr3:uid="{00000000-0010-0000-2100-00003B000000}" name="Column59"/>
    <tableColumn id="60" xr3:uid="{00000000-0010-0000-2100-00003C000000}" name="Column60"/>
    <tableColumn id="61" xr3:uid="{00000000-0010-0000-2100-00003D000000}" name="Column61"/>
    <tableColumn id="62" xr3:uid="{00000000-0010-0000-2100-00003E000000}" name="Column62"/>
    <tableColumn id="63" xr3:uid="{00000000-0010-0000-2100-00003F000000}" name="Column63"/>
    <tableColumn id="64" xr3:uid="{00000000-0010-0000-2100-000040000000}" name="Column64"/>
    <tableColumn id="65" xr3:uid="{00000000-0010-0000-2100-000041000000}" name="Column65"/>
    <tableColumn id="66" xr3:uid="{00000000-0010-0000-2100-000042000000}" name="Column66"/>
    <tableColumn id="67" xr3:uid="{00000000-0010-0000-2100-000043000000}" name="Column67"/>
    <tableColumn id="68" xr3:uid="{00000000-0010-0000-2100-000044000000}" name="Column68"/>
    <tableColumn id="69" xr3:uid="{00000000-0010-0000-2100-000045000000}" name="Column69"/>
    <tableColumn id="70" xr3:uid="{00000000-0010-0000-2100-000046000000}" name="Column70"/>
    <tableColumn id="71" xr3:uid="{00000000-0010-0000-2100-000047000000}" name="Column71"/>
    <tableColumn id="72" xr3:uid="{00000000-0010-0000-2100-000048000000}" name="Column72"/>
    <tableColumn id="73" xr3:uid="{00000000-0010-0000-2100-000049000000}" name="Column73"/>
    <tableColumn id="74" xr3:uid="{00000000-0010-0000-2100-00004A000000}" name="Column74"/>
    <tableColumn id="75" xr3:uid="{00000000-0010-0000-2100-00004B000000}" name="Column75"/>
    <tableColumn id="76" xr3:uid="{00000000-0010-0000-2100-00004C000000}" name="Column76"/>
    <tableColumn id="77" xr3:uid="{00000000-0010-0000-2100-00004D000000}" name="Column77"/>
    <tableColumn id="78" xr3:uid="{00000000-0010-0000-2100-00004E000000}" name="Column78"/>
    <tableColumn id="79" xr3:uid="{00000000-0010-0000-2100-00004F000000}" name="Column79"/>
    <tableColumn id="80" xr3:uid="{00000000-0010-0000-2100-000050000000}" name="Column80"/>
    <tableColumn id="81" xr3:uid="{00000000-0010-0000-2100-000051000000}" name="Column81"/>
    <tableColumn id="82" xr3:uid="{00000000-0010-0000-2100-000052000000}" name="Column82"/>
    <tableColumn id="83" xr3:uid="{00000000-0010-0000-2100-000053000000}" name="Column83"/>
    <tableColumn id="84" xr3:uid="{00000000-0010-0000-2100-000054000000}" name="Column84"/>
    <tableColumn id="85" xr3:uid="{00000000-0010-0000-2100-000055000000}" name="Column85"/>
    <tableColumn id="86" xr3:uid="{00000000-0010-0000-2100-000056000000}" name="Column86"/>
    <tableColumn id="87" xr3:uid="{00000000-0010-0000-2100-000057000000}" name="Column87"/>
    <tableColumn id="88" xr3:uid="{00000000-0010-0000-2100-000058000000}" name="Column88"/>
    <tableColumn id="89" xr3:uid="{00000000-0010-0000-2100-000059000000}" name="Column89"/>
    <tableColumn id="90" xr3:uid="{00000000-0010-0000-2100-00005A000000}" name="Column90"/>
  </tableColumns>
  <tableStyleInfo name="DATA_MODEL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Table_33" displayName="Table_33" ref="I9:CT9" headerRowCount="0">
  <tableColumns count="90">
    <tableColumn id="1" xr3:uid="{00000000-0010-0000-2200-000001000000}" name="Column1"/>
    <tableColumn id="2" xr3:uid="{00000000-0010-0000-2200-000002000000}" name="Column2"/>
    <tableColumn id="3" xr3:uid="{00000000-0010-0000-2200-000003000000}" name="Column3"/>
    <tableColumn id="4" xr3:uid="{00000000-0010-0000-2200-000004000000}" name="Column4"/>
    <tableColumn id="5" xr3:uid="{00000000-0010-0000-2200-000005000000}" name="Column5"/>
    <tableColumn id="6" xr3:uid="{00000000-0010-0000-2200-000006000000}" name="Column6"/>
    <tableColumn id="7" xr3:uid="{00000000-0010-0000-2200-000007000000}" name="Column7"/>
    <tableColumn id="8" xr3:uid="{00000000-0010-0000-2200-000008000000}" name="Column8"/>
    <tableColumn id="9" xr3:uid="{00000000-0010-0000-2200-000009000000}" name="Column9"/>
    <tableColumn id="10" xr3:uid="{00000000-0010-0000-2200-00000A000000}" name="Column10"/>
    <tableColumn id="11" xr3:uid="{00000000-0010-0000-2200-00000B000000}" name="Column11"/>
    <tableColumn id="12" xr3:uid="{00000000-0010-0000-2200-00000C000000}" name="Column12"/>
    <tableColumn id="13" xr3:uid="{00000000-0010-0000-2200-00000D000000}" name="Column13"/>
    <tableColumn id="14" xr3:uid="{00000000-0010-0000-2200-00000E000000}" name="Column14"/>
    <tableColumn id="15" xr3:uid="{00000000-0010-0000-2200-00000F000000}" name="Column15"/>
    <tableColumn id="16" xr3:uid="{00000000-0010-0000-2200-000010000000}" name="Column16"/>
    <tableColumn id="17" xr3:uid="{00000000-0010-0000-2200-000011000000}" name="Column17"/>
    <tableColumn id="18" xr3:uid="{00000000-0010-0000-2200-000012000000}" name="Column18"/>
    <tableColumn id="19" xr3:uid="{00000000-0010-0000-2200-000013000000}" name="Column19"/>
    <tableColumn id="20" xr3:uid="{00000000-0010-0000-2200-000014000000}" name="Column20"/>
    <tableColumn id="21" xr3:uid="{00000000-0010-0000-2200-000015000000}" name="Column21"/>
    <tableColumn id="22" xr3:uid="{00000000-0010-0000-2200-000016000000}" name="Column22"/>
    <tableColumn id="23" xr3:uid="{00000000-0010-0000-2200-000017000000}" name="Column23"/>
    <tableColumn id="24" xr3:uid="{00000000-0010-0000-2200-000018000000}" name="Column24"/>
    <tableColumn id="25" xr3:uid="{00000000-0010-0000-2200-000019000000}" name="Column25"/>
    <tableColumn id="26" xr3:uid="{00000000-0010-0000-2200-00001A000000}" name="Column26"/>
    <tableColumn id="27" xr3:uid="{00000000-0010-0000-2200-00001B000000}" name="Column27"/>
    <tableColumn id="28" xr3:uid="{00000000-0010-0000-2200-00001C000000}" name="Column28"/>
    <tableColumn id="29" xr3:uid="{00000000-0010-0000-2200-00001D000000}" name="Column29"/>
    <tableColumn id="30" xr3:uid="{00000000-0010-0000-2200-00001E000000}" name="Column30"/>
    <tableColumn id="31" xr3:uid="{00000000-0010-0000-2200-00001F000000}" name="Column31"/>
    <tableColumn id="32" xr3:uid="{00000000-0010-0000-2200-000020000000}" name="Column32"/>
    <tableColumn id="33" xr3:uid="{00000000-0010-0000-2200-000021000000}" name="Column33"/>
    <tableColumn id="34" xr3:uid="{00000000-0010-0000-2200-000022000000}" name="Column34"/>
    <tableColumn id="35" xr3:uid="{00000000-0010-0000-2200-000023000000}" name="Column35"/>
    <tableColumn id="36" xr3:uid="{00000000-0010-0000-2200-000024000000}" name="Column36"/>
    <tableColumn id="37" xr3:uid="{00000000-0010-0000-2200-000025000000}" name="Column37"/>
    <tableColumn id="38" xr3:uid="{00000000-0010-0000-2200-000026000000}" name="Column38"/>
    <tableColumn id="39" xr3:uid="{00000000-0010-0000-2200-000027000000}" name="Column39"/>
    <tableColumn id="40" xr3:uid="{00000000-0010-0000-2200-000028000000}" name="Column40"/>
    <tableColumn id="41" xr3:uid="{00000000-0010-0000-2200-000029000000}" name="Column41"/>
    <tableColumn id="42" xr3:uid="{00000000-0010-0000-2200-00002A000000}" name="Column42"/>
    <tableColumn id="43" xr3:uid="{00000000-0010-0000-2200-00002B000000}" name="Column43"/>
    <tableColumn id="44" xr3:uid="{00000000-0010-0000-2200-00002C000000}" name="Column44"/>
    <tableColumn id="45" xr3:uid="{00000000-0010-0000-2200-00002D000000}" name="Column45"/>
    <tableColumn id="46" xr3:uid="{00000000-0010-0000-2200-00002E000000}" name="Column46"/>
    <tableColumn id="47" xr3:uid="{00000000-0010-0000-2200-00002F000000}" name="Column47"/>
    <tableColumn id="48" xr3:uid="{00000000-0010-0000-2200-000030000000}" name="Column48"/>
    <tableColumn id="49" xr3:uid="{00000000-0010-0000-2200-000031000000}" name="Column49"/>
    <tableColumn id="50" xr3:uid="{00000000-0010-0000-2200-000032000000}" name="Column50"/>
    <tableColumn id="51" xr3:uid="{00000000-0010-0000-2200-000033000000}" name="Column51"/>
    <tableColumn id="52" xr3:uid="{00000000-0010-0000-2200-000034000000}" name="Column52"/>
    <tableColumn id="53" xr3:uid="{00000000-0010-0000-2200-000035000000}" name="Column53"/>
    <tableColumn id="54" xr3:uid="{00000000-0010-0000-2200-000036000000}" name="Column54"/>
    <tableColumn id="55" xr3:uid="{00000000-0010-0000-2200-000037000000}" name="Column55"/>
    <tableColumn id="56" xr3:uid="{00000000-0010-0000-2200-000038000000}" name="Column56"/>
    <tableColumn id="57" xr3:uid="{00000000-0010-0000-2200-000039000000}" name="Column57"/>
    <tableColumn id="58" xr3:uid="{00000000-0010-0000-2200-00003A000000}" name="Column58"/>
    <tableColumn id="59" xr3:uid="{00000000-0010-0000-2200-00003B000000}" name="Column59"/>
    <tableColumn id="60" xr3:uid="{00000000-0010-0000-2200-00003C000000}" name="Column60"/>
    <tableColumn id="61" xr3:uid="{00000000-0010-0000-2200-00003D000000}" name="Column61"/>
    <tableColumn id="62" xr3:uid="{00000000-0010-0000-2200-00003E000000}" name="Column62"/>
    <tableColumn id="63" xr3:uid="{00000000-0010-0000-2200-00003F000000}" name="Column63"/>
    <tableColumn id="64" xr3:uid="{00000000-0010-0000-2200-000040000000}" name="Column64"/>
    <tableColumn id="65" xr3:uid="{00000000-0010-0000-2200-000041000000}" name="Column65"/>
    <tableColumn id="66" xr3:uid="{00000000-0010-0000-2200-000042000000}" name="Column66"/>
    <tableColumn id="67" xr3:uid="{00000000-0010-0000-2200-000043000000}" name="Column67"/>
    <tableColumn id="68" xr3:uid="{00000000-0010-0000-2200-000044000000}" name="Column68"/>
    <tableColumn id="69" xr3:uid="{00000000-0010-0000-2200-000045000000}" name="Column69"/>
    <tableColumn id="70" xr3:uid="{00000000-0010-0000-2200-000046000000}" name="Column70"/>
    <tableColumn id="71" xr3:uid="{00000000-0010-0000-2200-000047000000}" name="Column71"/>
    <tableColumn id="72" xr3:uid="{00000000-0010-0000-2200-000048000000}" name="Column72"/>
    <tableColumn id="73" xr3:uid="{00000000-0010-0000-2200-000049000000}" name="Column73"/>
    <tableColumn id="74" xr3:uid="{00000000-0010-0000-2200-00004A000000}" name="Column74"/>
    <tableColumn id="75" xr3:uid="{00000000-0010-0000-2200-00004B000000}" name="Column75"/>
    <tableColumn id="76" xr3:uid="{00000000-0010-0000-2200-00004C000000}" name="Column76"/>
    <tableColumn id="77" xr3:uid="{00000000-0010-0000-2200-00004D000000}" name="Column77"/>
    <tableColumn id="78" xr3:uid="{00000000-0010-0000-2200-00004E000000}" name="Column78"/>
    <tableColumn id="79" xr3:uid="{00000000-0010-0000-2200-00004F000000}" name="Column79"/>
    <tableColumn id="80" xr3:uid="{00000000-0010-0000-2200-000050000000}" name="Column80"/>
    <tableColumn id="81" xr3:uid="{00000000-0010-0000-2200-000051000000}" name="Column81"/>
    <tableColumn id="82" xr3:uid="{00000000-0010-0000-2200-000052000000}" name="Column82"/>
    <tableColumn id="83" xr3:uid="{00000000-0010-0000-2200-000053000000}" name="Column83"/>
    <tableColumn id="84" xr3:uid="{00000000-0010-0000-2200-000054000000}" name="Column84"/>
    <tableColumn id="85" xr3:uid="{00000000-0010-0000-2200-000055000000}" name="Column85"/>
    <tableColumn id="86" xr3:uid="{00000000-0010-0000-2200-000056000000}" name="Column86"/>
    <tableColumn id="87" xr3:uid="{00000000-0010-0000-2200-000057000000}" name="Column87"/>
    <tableColumn id="88" xr3:uid="{00000000-0010-0000-2200-000058000000}" name="Column88"/>
    <tableColumn id="89" xr3:uid="{00000000-0010-0000-2200-000059000000}" name="Column89"/>
    <tableColumn id="90" xr3:uid="{00000000-0010-0000-2200-00005A000000}" name="Column90"/>
  </tableColumns>
  <tableStyleInfo name="DATA_MODEL-style 9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Table_34" displayName="Table_34" ref="I10:CT10" headerRowCount="0">
  <tableColumns count="90">
    <tableColumn id="1" xr3:uid="{00000000-0010-0000-2300-000001000000}" name="Column1"/>
    <tableColumn id="2" xr3:uid="{00000000-0010-0000-2300-000002000000}" name="Column2"/>
    <tableColumn id="3" xr3:uid="{00000000-0010-0000-2300-000003000000}" name="Column3"/>
    <tableColumn id="4" xr3:uid="{00000000-0010-0000-2300-000004000000}" name="Column4"/>
    <tableColumn id="5" xr3:uid="{00000000-0010-0000-2300-000005000000}" name="Column5"/>
    <tableColumn id="6" xr3:uid="{00000000-0010-0000-2300-000006000000}" name="Column6"/>
    <tableColumn id="7" xr3:uid="{00000000-0010-0000-2300-000007000000}" name="Column7"/>
    <tableColumn id="8" xr3:uid="{00000000-0010-0000-2300-000008000000}" name="Column8"/>
    <tableColumn id="9" xr3:uid="{00000000-0010-0000-2300-000009000000}" name="Column9"/>
    <tableColumn id="10" xr3:uid="{00000000-0010-0000-2300-00000A000000}" name="Column10"/>
    <tableColumn id="11" xr3:uid="{00000000-0010-0000-2300-00000B000000}" name="Column11"/>
    <tableColumn id="12" xr3:uid="{00000000-0010-0000-2300-00000C000000}" name="Column12"/>
    <tableColumn id="13" xr3:uid="{00000000-0010-0000-2300-00000D000000}" name="Column13"/>
    <tableColumn id="14" xr3:uid="{00000000-0010-0000-2300-00000E000000}" name="Column14"/>
    <tableColumn id="15" xr3:uid="{00000000-0010-0000-2300-00000F000000}" name="Column15"/>
    <tableColumn id="16" xr3:uid="{00000000-0010-0000-2300-000010000000}" name="Column16"/>
    <tableColumn id="17" xr3:uid="{00000000-0010-0000-2300-000011000000}" name="Column17"/>
    <tableColumn id="18" xr3:uid="{00000000-0010-0000-2300-000012000000}" name="Column18"/>
    <tableColumn id="19" xr3:uid="{00000000-0010-0000-2300-000013000000}" name="Column19"/>
    <tableColumn id="20" xr3:uid="{00000000-0010-0000-2300-000014000000}" name="Column20"/>
    <tableColumn id="21" xr3:uid="{00000000-0010-0000-2300-000015000000}" name="Column21"/>
    <tableColumn id="22" xr3:uid="{00000000-0010-0000-2300-000016000000}" name="Column22"/>
    <tableColumn id="23" xr3:uid="{00000000-0010-0000-2300-000017000000}" name="Column23"/>
    <tableColumn id="24" xr3:uid="{00000000-0010-0000-2300-000018000000}" name="Column24"/>
    <tableColumn id="25" xr3:uid="{00000000-0010-0000-2300-000019000000}" name="Column25"/>
    <tableColumn id="26" xr3:uid="{00000000-0010-0000-2300-00001A000000}" name="Column26"/>
    <tableColumn id="27" xr3:uid="{00000000-0010-0000-2300-00001B000000}" name="Column27"/>
    <tableColumn id="28" xr3:uid="{00000000-0010-0000-2300-00001C000000}" name="Column28"/>
    <tableColumn id="29" xr3:uid="{00000000-0010-0000-2300-00001D000000}" name="Column29"/>
    <tableColumn id="30" xr3:uid="{00000000-0010-0000-2300-00001E000000}" name="Column30"/>
    <tableColumn id="31" xr3:uid="{00000000-0010-0000-2300-00001F000000}" name="Column31"/>
    <tableColumn id="32" xr3:uid="{00000000-0010-0000-2300-000020000000}" name="Column32"/>
    <tableColumn id="33" xr3:uid="{00000000-0010-0000-2300-000021000000}" name="Column33"/>
    <tableColumn id="34" xr3:uid="{00000000-0010-0000-2300-000022000000}" name="Column34"/>
    <tableColumn id="35" xr3:uid="{00000000-0010-0000-2300-000023000000}" name="Column35"/>
    <tableColumn id="36" xr3:uid="{00000000-0010-0000-2300-000024000000}" name="Column36"/>
    <tableColumn id="37" xr3:uid="{00000000-0010-0000-2300-000025000000}" name="Column37"/>
    <tableColumn id="38" xr3:uid="{00000000-0010-0000-2300-000026000000}" name="Column38"/>
    <tableColumn id="39" xr3:uid="{00000000-0010-0000-2300-000027000000}" name="Column39"/>
    <tableColumn id="40" xr3:uid="{00000000-0010-0000-2300-000028000000}" name="Column40"/>
    <tableColumn id="41" xr3:uid="{00000000-0010-0000-2300-000029000000}" name="Column41"/>
    <tableColumn id="42" xr3:uid="{00000000-0010-0000-2300-00002A000000}" name="Column42"/>
    <tableColumn id="43" xr3:uid="{00000000-0010-0000-2300-00002B000000}" name="Column43"/>
    <tableColumn id="44" xr3:uid="{00000000-0010-0000-2300-00002C000000}" name="Column44"/>
    <tableColumn id="45" xr3:uid="{00000000-0010-0000-2300-00002D000000}" name="Column45"/>
    <tableColumn id="46" xr3:uid="{00000000-0010-0000-2300-00002E000000}" name="Column46"/>
    <tableColumn id="47" xr3:uid="{00000000-0010-0000-2300-00002F000000}" name="Column47"/>
    <tableColumn id="48" xr3:uid="{00000000-0010-0000-2300-000030000000}" name="Column48"/>
    <tableColumn id="49" xr3:uid="{00000000-0010-0000-2300-000031000000}" name="Column49"/>
    <tableColumn id="50" xr3:uid="{00000000-0010-0000-2300-000032000000}" name="Column50"/>
    <tableColumn id="51" xr3:uid="{00000000-0010-0000-2300-000033000000}" name="Column51"/>
    <tableColumn id="52" xr3:uid="{00000000-0010-0000-2300-000034000000}" name="Column52"/>
    <tableColumn id="53" xr3:uid="{00000000-0010-0000-2300-000035000000}" name="Column53"/>
    <tableColumn id="54" xr3:uid="{00000000-0010-0000-2300-000036000000}" name="Column54"/>
    <tableColumn id="55" xr3:uid="{00000000-0010-0000-2300-000037000000}" name="Column55"/>
    <tableColumn id="56" xr3:uid="{00000000-0010-0000-2300-000038000000}" name="Column56"/>
    <tableColumn id="57" xr3:uid="{00000000-0010-0000-2300-000039000000}" name="Column57"/>
    <tableColumn id="58" xr3:uid="{00000000-0010-0000-2300-00003A000000}" name="Column58"/>
    <tableColumn id="59" xr3:uid="{00000000-0010-0000-2300-00003B000000}" name="Column59"/>
    <tableColumn id="60" xr3:uid="{00000000-0010-0000-2300-00003C000000}" name="Column60"/>
    <tableColumn id="61" xr3:uid="{00000000-0010-0000-2300-00003D000000}" name="Column61"/>
    <tableColumn id="62" xr3:uid="{00000000-0010-0000-2300-00003E000000}" name="Column62"/>
    <tableColumn id="63" xr3:uid="{00000000-0010-0000-2300-00003F000000}" name="Column63"/>
    <tableColumn id="64" xr3:uid="{00000000-0010-0000-2300-000040000000}" name="Column64"/>
    <tableColumn id="65" xr3:uid="{00000000-0010-0000-2300-000041000000}" name="Column65"/>
    <tableColumn id="66" xr3:uid="{00000000-0010-0000-2300-000042000000}" name="Column66"/>
    <tableColumn id="67" xr3:uid="{00000000-0010-0000-2300-000043000000}" name="Column67"/>
    <tableColumn id="68" xr3:uid="{00000000-0010-0000-2300-000044000000}" name="Column68"/>
    <tableColumn id="69" xr3:uid="{00000000-0010-0000-2300-000045000000}" name="Column69"/>
    <tableColumn id="70" xr3:uid="{00000000-0010-0000-2300-000046000000}" name="Column70"/>
    <tableColumn id="71" xr3:uid="{00000000-0010-0000-2300-000047000000}" name="Column71"/>
    <tableColumn id="72" xr3:uid="{00000000-0010-0000-2300-000048000000}" name="Column72"/>
    <tableColumn id="73" xr3:uid="{00000000-0010-0000-2300-000049000000}" name="Column73"/>
    <tableColumn id="74" xr3:uid="{00000000-0010-0000-2300-00004A000000}" name="Column74"/>
    <tableColumn id="75" xr3:uid="{00000000-0010-0000-2300-00004B000000}" name="Column75"/>
    <tableColumn id="76" xr3:uid="{00000000-0010-0000-2300-00004C000000}" name="Column76"/>
    <tableColumn id="77" xr3:uid="{00000000-0010-0000-2300-00004D000000}" name="Column77"/>
    <tableColumn id="78" xr3:uid="{00000000-0010-0000-2300-00004E000000}" name="Column78"/>
    <tableColumn id="79" xr3:uid="{00000000-0010-0000-2300-00004F000000}" name="Column79"/>
    <tableColumn id="80" xr3:uid="{00000000-0010-0000-2300-000050000000}" name="Column80"/>
    <tableColumn id="81" xr3:uid="{00000000-0010-0000-2300-000051000000}" name="Column81"/>
    <tableColumn id="82" xr3:uid="{00000000-0010-0000-2300-000052000000}" name="Column82"/>
    <tableColumn id="83" xr3:uid="{00000000-0010-0000-2300-000053000000}" name="Column83"/>
    <tableColumn id="84" xr3:uid="{00000000-0010-0000-2300-000054000000}" name="Column84"/>
    <tableColumn id="85" xr3:uid="{00000000-0010-0000-2300-000055000000}" name="Column85"/>
    <tableColumn id="86" xr3:uid="{00000000-0010-0000-2300-000056000000}" name="Column86"/>
    <tableColumn id="87" xr3:uid="{00000000-0010-0000-2300-000057000000}" name="Column87"/>
    <tableColumn id="88" xr3:uid="{00000000-0010-0000-2300-000058000000}" name="Column88"/>
    <tableColumn id="89" xr3:uid="{00000000-0010-0000-2300-000059000000}" name="Column89"/>
    <tableColumn id="90" xr3:uid="{00000000-0010-0000-2300-00005A000000}" name="Column90"/>
  </tableColumns>
  <tableStyleInfo name="DATA_MODEL-style 10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Table_35" displayName="Table_35" ref="I11:CT11" headerRowCount="0">
  <tableColumns count="90">
    <tableColumn id="1" xr3:uid="{00000000-0010-0000-2400-000001000000}" name="Column1"/>
    <tableColumn id="2" xr3:uid="{00000000-0010-0000-2400-000002000000}" name="Column2"/>
    <tableColumn id="3" xr3:uid="{00000000-0010-0000-2400-000003000000}" name="Column3"/>
    <tableColumn id="4" xr3:uid="{00000000-0010-0000-2400-000004000000}" name="Column4"/>
    <tableColumn id="5" xr3:uid="{00000000-0010-0000-2400-000005000000}" name="Column5"/>
    <tableColumn id="6" xr3:uid="{00000000-0010-0000-2400-000006000000}" name="Column6"/>
    <tableColumn id="7" xr3:uid="{00000000-0010-0000-2400-000007000000}" name="Column7"/>
    <tableColumn id="8" xr3:uid="{00000000-0010-0000-2400-000008000000}" name="Column8"/>
    <tableColumn id="9" xr3:uid="{00000000-0010-0000-2400-000009000000}" name="Column9"/>
    <tableColumn id="10" xr3:uid="{00000000-0010-0000-2400-00000A000000}" name="Column10"/>
    <tableColumn id="11" xr3:uid="{00000000-0010-0000-2400-00000B000000}" name="Column11"/>
    <tableColumn id="12" xr3:uid="{00000000-0010-0000-2400-00000C000000}" name="Column12"/>
    <tableColumn id="13" xr3:uid="{00000000-0010-0000-2400-00000D000000}" name="Column13"/>
    <tableColumn id="14" xr3:uid="{00000000-0010-0000-2400-00000E000000}" name="Column14"/>
    <tableColumn id="15" xr3:uid="{00000000-0010-0000-2400-00000F000000}" name="Column15"/>
    <tableColumn id="16" xr3:uid="{00000000-0010-0000-2400-000010000000}" name="Column16"/>
    <tableColumn id="17" xr3:uid="{00000000-0010-0000-2400-000011000000}" name="Column17"/>
    <tableColumn id="18" xr3:uid="{00000000-0010-0000-2400-000012000000}" name="Column18"/>
    <tableColumn id="19" xr3:uid="{00000000-0010-0000-2400-000013000000}" name="Column19"/>
    <tableColumn id="20" xr3:uid="{00000000-0010-0000-2400-000014000000}" name="Column20"/>
    <tableColumn id="21" xr3:uid="{00000000-0010-0000-2400-000015000000}" name="Column21"/>
    <tableColumn id="22" xr3:uid="{00000000-0010-0000-2400-000016000000}" name="Column22"/>
    <tableColumn id="23" xr3:uid="{00000000-0010-0000-2400-000017000000}" name="Column23"/>
    <tableColumn id="24" xr3:uid="{00000000-0010-0000-2400-000018000000}" name="Column24"/>
    <tableColumn id="25" xr3:uid="{00000000-0010-0000-2400-000019000000}" name="Column25"/>
    <tableColumn id="26" xr3:uid="{00000000-0010-0000-2400-00001A000000}" name="Column26"/>
    <tableColumn id="27" xr3:uid="{00000000-0010-0000-2400-00001B000000}" name="Column27"/>
    <tableColumn id="28" xr3:uid="{00000000-0010-0000-2400-00001C000000}" name="Column28"/>
    <tableColumn id="29" xr3:uid="{00000000-0010-0000-2400-00001D000000}" name="Column29"/>
    <tableColumn id="30" xr3:uid="{00000000-0010-0000-2400-00001E000000}" name="Column30"/>
    <tableColumn id="31" xr3:uid="{00000000-0010-0000-2400-00001F000000}" name="Column31"/>
    <tableColumn id="32" xr3:uid="{00000000-0010-0000-2400-000020000000}" name="Column32"/>
    <tableColumn id="33" xr3:uid="{00000000-0010-0000-2400-000021000000}" name="Column33"/>
    <tableColumn id="34" xr3:uid="{00000000-0010-0000-2400-000022000000}" name="Column34"/>
    <tableColumn id="35" xr3:uid="{00000000-0010-0000-2400-000023000000}" name="Column35"/>
    <tableColumn id="36" xr3:uid="{00000000-0010-0000-2400-000024000000}" name="Column36"/>
    <tableColumn id="37" xr3:uid="{00000000-0010-0000-2400-000025000000}" name="Column37"/>
    <tableColumn id="38" xr3:uid="{00000000-0010-0000-2400-000026000000}" name="Column38"/>
    <tableColumn id="39" xr3:uid="{00000000-0010-0000-2400-000027000000}" name="Column39"/>
    <tableColumn id="40" xr3:uid="{00000000-0010-0000-2400-000028000000}" name="Column40"/>
    <tableColumn id="41" xr3:uid="{00000000-0010-0000-2400-000029000000}" name="Column41"/>
    <tableColumn id="42" xr3:uid="{00000000-0010-0000-2400-00002A000000}" name="Column42"/>
    <tableColumn id="43" xr3:uid="{00000000-0010-0000-2400-00002B000000}" name="Column43"/>
    <tableColumn id="44" xr3:uid="{00000000-0010-0000-2400-00002C000000}" name="Column44"/>
    <tableColumn id="45" xr3:uid="{00000000-0010-0000-2400-00002D000000}" name="Column45"/>
    <tableColumn id="46" xr3:uid="{00000000-0010-0000-2400-00002E000000}" name="Column46"/>
    <tableColumn id="47" xr3:uid="{00000000-0010-0000-2400-00002F000000}" name="Column47"/>
    <tableColumn id="48" xr3:uid="{00000000-0010-0000-2400-000030000000}" name="Column48"/>
    <tableColumn id="49" xr3:uid="{00000000-0010-0000-2400-000031000000}" name="Column49"/>
    <tableColumn id="50" xr3:uid="{00000000-0010-0000-2400-000032000000}" name="Column50"/>
    <tableColumn id="51" xr3:uid="{00000000-0010-0000-2400-000033000000}" name="Column51"/>
    <tableColumn id="52" xr3:uid="{00000000-0010-0000-2400-000034000000}" name="Column52"/>
    <tableColumn id="53" xr3:uid="{00000000-0010-0000-2400-000035000000}" name="Column53"/>
    <tableColumn id="54" xr3:uid="{00000000-0010-0000-2400-000036000000}" name="Column54"/>
    <tableColumn id="55" xr3:uid="{00000000-0010-0000-2400-000037000000}" name="Column55"/>
    <tableColumn id="56" xr3:uid="{00000000-0010-0000-2400-000038000000}" name="Column56"/>
    <tableColumn id="57" xr3:uid="{00000000-0010-0000-2400-000039000000}" name="Column57"/>
    <tableColumn id="58" xr3:uid="{00000000-0010-0000-2400-00003A000000}" name="Column58"/>
    <tableColumn id="59" xr3:uid="{00000000-0010-0000-2400-00003B000000}" name="Column59"/>
    <tableColumn id="60" xr3:uid="{00000000-0010-0000-2400-00003C000000}" name="Column60"/>
    <tableColumn id="61" xr3:uid="{00000000-0010-0000-2400-00003D000000}" name="Column61"/>
    <tableColumn id="62" xr3:uid="{00000000-0010-0000-2400-00003E000000}" name="Column62"/>
    <tableColumn id="63" xr3:uid="{00000000-0010-0000-2400-00003F000000}" name="Column63"/>
    <tableColumn id="64" xr3:uid="{00000000-0010-0000-2400-000040000000}" name="Column64"/>
    <tableColumn id="65" xr3:uid="{00000000-0010-0000-2400-000041000000}" name="Column65"/>
    <tableColumn id="66" xr3:uid="{00000000-0010-0000-2400-000042000000}" name="Column66"/>
    <tableColumn id="67" xr3:uid="{00000000-0010-0000-2400-000043000000}" name="Column67"/>
    <tableColumn id="68" xr3:uid="{00000000-0010-0000-2400-000044000000}" name="Column68"/>
    <tableColumn id="69" xr3:uid="{00000000-0010-0000-2400-000045000000}" name="Column69"/>
    <tableColumn id="70" xr3:uid="{00000000-0010-0000-2400-000046000000}" name="Column70"/>
    <tableColumn id="71" xr3:uid="{00000000-0010-0000-2400-000047000000}" name="Column71"/>
    <tableColumn id="72" xr3:uid="{00000000-0010-0000-2400-000048000000}" name="Column72"/>
    <tableColumn id="73" xr3:uid="{00000000-0010-0000-2400-000049000000}" name="Column73"/>
    <tableColumn id="74" xr3:uid="{00000000-0010-0000-2400-00004A000000}" name="Column74"/>
    <tableColumn id="75" xr3:uid="{00000000-0010-0000-2400-00004B000000}" name="Column75"/>
    <tableColumn id="76" xr3:uid="{00000000-0010-0000-2400-00004C000000}" name="Column76"/>
    <tableColumn id="77" xr3:uid="{00000000-0010-0000-2400-00004D000000}" name="Column77"/>
    <tableColumn id="78" xr3:uid="{00000000-0010-0000-2400-00004E000000}" name="Column78"/>
    <tableColumn id="79" xr3:uid="{00000000-0010-0000-2400-00004F000000}" name="Column79"/>
    <tableColumn id="80" xr3:uid="{00000000-0010-0000-2400-000050000000}" name="Column80"/>
    <tableColumn id="81" xr3:uid="{00000000-0010-0000-2400-000051000000}" name="Column81"/>
    <tableColumn id="82" xr3:uid="{00000000-0010-0000-2400-000052000000}" name="Column82"/>
    <tableColumn id="83" xr3:uid="{00000000-0010-0000-2400-000053000000}" name="Column83"/>
    <tableColumn id="84" xr3:uid="{00000000-0010-0000-2400-000054000000}" name="Column84"/>
    <tableColumn id="85" xr3:uid="{00000000-0010-0000-2400-000055000000}" name="Column85"/>
    <tableColumn id="86" xr3:uid="{00000000-0010-0000-2400-000056000000}" name="Column86"/>
    <tableColumn id="87" xr3:uid="{00000000-0010-0000-2400-000057000000}" name="Column87"/>
    <tableColumn id="88" xr3:uid="{00000000-0010-0000-2400-000058000000}" name="Column88"/>
    <tableColumn id="89" xr3:uid="{00000000-0010-0000-2400-000059000000}" name="Column89"/>
    <tableColumn id="90" xr3:uid="{00000000-0010-0000-2400-00005A000000}" name="Column90"/>
  </tableColumns>
  <tableStyleInfo name="DATA_MODEL-style 11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Table_36" displayName="Table_36" ref="I12:CT12" headerRowCount="0">
  <tableColumns count="90">
    <tableColumn id="1" xr3:uid="{00000000-0010-0000-2500-000001000000}" name="Column1"/>
    <tableColumn id="2" xr3:uid="{00000000-0010-0000-2500-000002000000}" name="Column2"/>
    <tableColumn id="3" xr3:uid="{00000000-0010-0000-2500-000003000000}" name="Column3"/>
    <tableColumn id="4" xr3:uid="{00000000-0010-0000-2500-000004000000}" name="Column4"/>
    <tableColumn id="5" xr3:uid="{00000000-0010-0000-2500-000005000000}" name="Column5"/>
    <tableColumn id="6" xr3:uid="{00000000-0010-0000-2500-000006000000}" name="Column6"/>
    <tableColumn id="7" xr3:uid="{00000000-0010-0000-2500-000007000000}" name="Column7"/>
    <tableColumn id="8" xr3:uid="{00000000-0010-0000-2500-000008000000}" name="Column8"/>
    <tableColumn id="9" xr3:uid="{00000000-0010-0000-2500-000009000000}" name="Column9"/>
    <tableColumn id="10" xr3:uid="{00000000-0010-0000-2500-00000A000000}" name="Column10"/>
    <tableColumn id="11" xr3:uid="{00000000-0010-0000-2500-00000B000000}" name="Column11"/>
    <tableColumn id="12" xr3:uid="{00000000-0010-0000-2500-00000C000000}" name="Column12"/>
    <tableColumn id="13" xr3:uid="{00000000-0010-0000-2500-00000D000000}" name="Column13"/>
    <tableColumn id="14" xr3:uid="{00000000-0010-0000-2500-00000E000000}" name="Column14"/>
    <tableColumn id="15" xr3:uid="{00000000-0010-0000-2500-00000F000000}" name="Column15"/>
    <tableColumn id="16" xr3:uid="{00000000-0010-0000-2500-000010000000}" name="Column16"/>
    <tableColumn id="17" xr3:uid="{00000000-0010-0000-2500-000011000000}" name="Column17"/>
    <tableColumn id="18" xr3:uid="{00000000-0010-0000-2500-000012000000}" name="Column18"/>
    <tableColumn id="19" xr3:uid="{00000000-0010-0000-2500-000013000000}" name="Column19"/>
    <tableColumn id="20" xr3:uid="{00000000-0010-0000-2500-000014000000}" name="Column20"/>
    <tableColumn id="21" xr3:uid="{00000000-0010-0000-2500-000015000000}" name="Column21"/>
    <tableColumn id="22" xr3:uid="{00000000-0010-0000-2500-000016000000}" name="Column22"/>
    <tableColumn id="23" xr3:uid="{00000000-0010-0000-2500-000017000000}" name="Column23"/>
    <tableColumn id="24" xr3:uid="{00000000-0010-0000-2500-000018000000}" name="Column24"/>
    <tableColumn id="25" xr3:uid="{00000000-0010-0000-2500-000019000000}" name="Column25"/>
    <tableColumn id="26" xr3:uid="{00000000-0010-0000-2500-00001A000000}" name="Column26"/>
    <tableColumn id="27" xr3:uid="{00000000-0010-0000-2500-00001B000000}" name="Column27"/>
    <tableColumn id="28" xr3:uid="{00000000-0010-0000-2500-00001C000000}" name="Column28"/>
    <tableColumn id="29" xr3:uid="{00000000-0010-0000-2500-00001D000000}" name="Column29"/>
    <tableColumn id="30" xr3:uid="{00000000-0010-0000-2500-00001E000000}" name="Column30"/>
    <tableColumn id="31" xr3:uid="{00000000-0010-0000-2500-00001F000000}" name="Column31"/>
    <tableColumn id="32" xr3:uid="{00000000-0010-0000-2500-000020000000}" name="Column32"/>
    <tableColumn id="33" xr3:uid="{00000000-0010-0000-2500-000021000000}" name="Column33"/>
    <tableColumn id="34" xr3:uid="{00000000-0010-0000-2500-000022000000}" name="Column34"/>
    <tableColumn id="35" xr3:uid="{00000000-0010-0000-2500-000023000000}" name="Column35"/>
    <tableColumn id="36" xr3:uid="{00000000-0010-0000-2500-000024000000}" name="Column36"/>
    <tableColumn id="37" xr3:uid="{00000000-0010-0000-2500-000025000000}" name="Column37"/>
    <tableColumn id="38" xr3:uid="{00000000-0010-0000-2500-000026000000}" name="Column38"/>
    <tableColumn id="39" xr3:uid="{00000000-0010-0000-2500-000027000000}" name="Column39"/>
    <tableColumn id="40" xr3:uid="{00000000-0010-0000-2500-000028000000}" name="Column40"/>
    <tableColumn id="41" xr3:uid="{00000000-0010-0000-2500-000029000000}" name="Column41"/>
    <tableColumn id="42" xr3:uid="{00000000-0010-0000-2500-00002A000000}" name="Column42"/>
    <tableColumn id="43" xr3:uid="{00000000-0010-0000-2500-00002B000000}" name="Column43"/>
    <tableColumn id="44" xr3:uid="{00000000-0010-0000-2500-00002C000000}" name="Column44"/>
    <tableColumn id="45" xr3:uid="{00000000-0010-0000-2500-00002D000000}" name="Column45"/>
    <tableColumn id="46" xr3:uid="{00000000-0010-0000-2500-00002E000000}" name="Column46"/>
    <tableColumn id="47" xr3:uid="{00000000-0010-0000-2500-00002F000000}" name="Column47"/>
    <tableColumn id="48" xr3:uid="{00000000-0010-0000-2500-000030000000}" name="Column48"/>
    <tableColumn id="49" xr3:uid="{00000000-0010-0000-2500-000031000000}" name="Column49"/>
    <tableColumn id="50" xr3:uid="{00000000-0010-0000-2500-000032000000}" name="Column50"/>
    <tableColumn id="51" xr3:uid="{00000000-0010-0000-2500-000033000000}" name="Column51"/>
    <tableColumn id="52" xr3:uid="{00000000-0010-0000-2500-000034000000}" name="Column52"/>
    <tableColumn id="53" xr3:uid="{00000000-0010-0000-2500-000035000000}" name="Column53"/>
    <tableColumn id="54" xr3:uid="{00000000-0010-0000-2500-000036000000}" name="Column54"/>
    <tableColumn id="55" xr3:uid="{00000000-0010-0000-2500-000037000000}" name="Column55"/>
    <tableColumn id="56" xr3:uid="{00000000-0010-0000-2500-000038000000}" name="Column56"/>
    <tableColumn id="57" xr3:uid="{00000000-0010-0000-2500-000039000000}" name="Column57"/>
    <tableColumn id="58" xr3:uid="{00000000-0010-0000-2500-00003A000000}" name="Column58"/>
    <tableColumn id="59" xr3:uid="{00000000-0010-0000-2500-00003B000000}" name="Column59"/>
    <tableColumn id="60" xr3:uid="{00000000-0010-0000-2500-00003C000000}" name="Column60"/>
    <tableColumn id="61" xr3:uid="{00000000-0010-0000-2500-00003D000000}" name="Column61"/>
    <tableColumn id="62" xr3:uid="{00000000-0010-0000-2500-00003E000000}" name="Column62"/>
    <tableColumn id="63" xr3:uid="{00000000-0010-0000-2500-00003F000000}" name="Column63"/>
    <tableColumn id="64" xr3:uid="{00000000-0010-0000-2500-000040000000}" name="Column64"/>
    <tableColumn id="65" xr3:uid="{00000000-0010-0000-2500-000041000000}" name="Column65"/>
    <tableColumn id="66" xr3:uid="{00000000-0010-0000-2500-000042000000}" name="Column66"/>
    <tableColumn id="67" xr3:uid="{00000000-0010-0000-2500-000043000000}" name="Column67"/>
    <tableColumn id="68" xr3:uid="{00000000-0010-0000-2500-000044000000}" name="Column68"/>
    <tableColumn id="69" xr3:uid="{00000000-0010-0000-2500-000045000000}" name="Column69"/>
    <tableColumn id="70" xr3:uid="{00000000-0010-0000-2500-000046000000}" name="Column70"/>
    <tableColumn id="71" xr3:uid="{00000000-0010-0000-2500-000047000000}" name="Column71"/>
    <tableColumn id="72" xr3:uid="{00000000-0010-0000-2500-000048000000}" name="Column72"/>
    <tableColumn id="73" xr3:uid="{00000000-0010-0000-2500-000049000000}" name="Column73"/>
    <tableColumn id="74" xr3:uid="{00000000-0010-0000-2500-00004A000000}" name="Column74"/>
    <tableColumn id="75" xr3:uid="{00000000-0010-0000-2500-00004B000000}" name="Column75"/>
    <tableColumn id="76" xr3:uid="{00000000-0010-0000-2500-00004C000000}" name="Column76"/>
    <tableColumn id="77" xr3:uid="{00000000-0010-0000-2500-00004D000000}" name="Column77"/>
    <tableColumn id="78" xr3:uid="{00000000-0010-0000-2500-00004E000000}" name="Column78"/>
    <tableColumn id="79" xr3:uid="{00000000-0010-0000-2500-00004F000000}" name="Column79"/>
    <tableColumn id="80" xr3:uid="{00000000-0010-0000-2500-000050000000}" name="Column80"/>
    <tableColumn id="81" xr3:uid="{00000000-0010-0000-2500-000051000000}" name="Column81"/>
    <tableColumn id="82" xr3:uid="{00000000-0010-0000-2500-000052000000}" name="Column82"/>
    <tableColumn id="83" xr3:uid="{00000000-0010-0000-2500-000053000000}" name="Column83"/>
    <tableColumn id="84" xr3:uid="{00000000-0010-0000-2500-000054000000}" name="Column84"/>
    <tableColumn id="85" xr3:uid="{00000000-0010-0000-2500-000055000000}" name="Column85"/>
    <tableColumn id="86" xr3:uid="{00000000-0010-0000-2500-000056000000}" name="Column86"/>
    <tableColumn id="87" xr3:uid="{00000000-0010-0000-2500-000057000000}" name="Column87"/>
    <tableColumn id="88" xr3:uid="{00000000-0010-0000-2500-000058000000}" name="Column88"/>
    <tableColumn id="89" xr3:uid="{00000000-0010-0000-2500-000059000000}" name="Column89"/>
    <tableColumn id="90" xr3:uid="{00000000-0010-0000-2500-00005A000000}" name="Column90"/>
  </tableColumns>
  <tableStyleInfo name="DATA_MODEL-style 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Table_37" displayName="Table_37" ref="I13:CT13" headerRowCount="0">
  <tableColumns count="90">
    <tableColumn id="1" xr3:uid="{00000000-0010-0000-2600-000001000000}" name="Column1"/>
    <tableColumn id="2" xr3:uid="{00000000-0010-0000-2600-000002000000}" name="Column2"/>
    <tableColumn id="3" xr3:uid="{00000000-0010-0000-2600-000003000000}" name="Column3"/>
    <tableColumn id="4" xr3:uid="{00000000-0010-0000-2600-000004000000}" name="Column4"/>
    <tableColumn id="5" xr3:uid="{00000000-0010-0000-2600-000005000000}" name="Column5"/>
    <tableColumn id="6" xr3:uid="{00000000-0010-0000-2600-000006000000}" name="Column6"/>
    <tableColumn id="7" xr3:uid="{00000000-0010-0000-2600-000007000000}" name="Column7"/>
    <tableColumn id="8" xr3:uid="{00000000-0010-0000-2600-000008000000}" name="Column8"/>
    <tableColumn id="9" xr3:uid="{00000000-0010-0000-2600-000009000000}" name="Column9"/>
    <tableColumn id="10" xr3:uid="{00000000-0010-0000-2600-00000A000000}" name="Column10"/>
    <tableColumn id="11" xr3:uid="{00000000-0010-0000-2600-00000B000000}" name="Column11"/>
    <tableColumn id="12" xr3:uid="{00000000-0010-0000-2600-00000C000000}" name="Column12"/>
    <tableColumn id="13" xr3:uid="{00000000-0010-0000-2600-00000D000000}" name="Column13"/>
    <tableColumn id="14" xr3:uid="{00000000-0010-0000-2600-00000E000000}" name="Column14"/>
    <tableColumn id="15" xr3:uid="{00000000-0010-0000-2600-00000F000000}" name="Column15"/>
    <tableColumn id="16" xr3:uid="{00000000-0010-0000-2600-000010000000}" name="Column16"/>
    <tableColumn id="17" xr3:uid="{00000000-0010-0000-2600-000011000000}" name="Column17"/>
    <tableColumn id="18" xr3:uid="{00000000-0010-0000-2600-000012000000}" name="Column18"/>
    <tableColumn id="19" xr3:uid="{00000000-0010-0000-2600-000013000000}" name="Column19"/>
    <tableColumn id="20" xr3:uid="{00000000-0010-0000-2600-000014000000}" name="Column20"/>
    <tableColumn id="21" xr3:uid="{00000000-0010-0000-2600-000015000000}" name="Column21"/>
    <tableColumn id="22" xr3:uid="{00000000-0010-0000-2600-000016000000}" name="Column22"/>
    <tableColumn id="23" xr3:uid="{00000000-0010-0000-2600-000017000000}" name="Column23"/>
    <tableColumn id="24" xr3:uid="{00000000-0010-0000-2600-000018000000}" name="Column24"/>
    <tableColumn id="25" xr3:uid="{00000000-0010-0000-2600-000019000000}" name="Column25"/>
    <tableColumn id="26" xr3:uid="{00000000-0010-0000-2600-00001A000000}" name="Column26"/>
    <tableColumn id="27" xr3:uid="{00000000-0010-0000-2600-00001B000000}" name="Column27"/>
    <tableColumn id="28" xr3:uid="{00000000-0010-0000-2600-00001C000000}" name="Column28"/>
    <tableColumn id="29" xr3:uid="{00000000-0010-0000-2600-00001D000000}" name="Column29"/>
    <tableColumn id="30" xr3:uid="{00000000-0010-0000-2600-00001E000000}" name="Column30"/>
    <tableColumn id="31" xr3:uid="{00000000-0010-0000-2600-00001F000000}" name="Column31"/>
    <tableColumn id="32" xr3:uid="{00000000-0010-0000-2600-000020000000}" name="Column32"/>
    <tableColumn id="33" xr3:uid="{00000000-0010-0000-2600-000021000000}" name="Column33"/>
    <tableColumn id="34" xr3:uid="{00000000-0010-0000-2600-000022000000}" name="Column34"/>
    <tableColumn id="35" xr3:uid="{00000000-0010-0000-2600-000023000000}" name="Column35"/>
    <tableColumn id="36" xr3:uid="{00000000-0010-0000-2600-000024000000}" name="Column36"/>
    <tableColumn id="37" xr3:uid="{00000000-0010-0000-2600-000025000000}" name="Column37"/>
    <tableColumn id="38" xr3:uid="{00000000-0010-0000-2600-000026000000}" name="Column38"/>
    <tableColumn id="39" xr3:uid="{00000000-0010-0000-2600-000027000000}" name="Column39"/>
    <tableColumn id="40" xr3:uid="{00000000-0010-0000-2600-000028000000}" name="Column40"/>
    <tableColumn id="41" xr3:uid="{00000000-0010-0000-2600-000029000000}" name="Column41"/>
    <tableColumn id="42" xr3:uid="{00000000-0010-0000-2600-00002A000000}" name="Column42"/>
    <tableColumn id="43" xr3:uid="{00000000-0010-0000-2600-00002B000000}" name="Column43"/>
    <tableColumn id="44" xr3:uid="{00000000-0010-0000-2600-00002C000000}" name="Column44"/>
    <tableColumn id="45" xr3:uid="{00000000-0010-0000-2600-00002D000000}" name="Column45"/>
    <tableColumn id="46" xr3:uid="{00000000-0010-0000-2600-00002E000000}" name="Column46"/>
    <tableColumn id="47" xr3:uid="{00000000-0010-0000-2600-00002F000000}" name="Column47"/>
    <tableColumn id="48" xr3:uid="{00000000-0010-0000-2600-000030000000}" name="Column48"/>
    <tableColumn id="49" xr3:uid="{00000000-0010-0000-2600-000031000000}" name="Column49"/>
    <tableColumn id="50" xr3:uid="{00000000-0010-0000-2600-000032000000}" name="Column50"/>
    <tableColumn id="51" xr3:uid="{00000000-0010-0000-2600-000033000000}" name="Column51"/>
    <tableColumn id="52" xr3:uid="{00000000-0010-0000-2600-000034000000}" name="Column52"/>
    <tableColumn id="53" xr3:uid="{00000000-0010-0000-2600-000035000000}" name="Column53"/>
    <tableColumn id="54" xr3:uid="{00000000-0010-0000-2600-000036000000}" name="Column54"/>
    <tableColumn id="55" xr3:uid="{00000000-0010-0000-2600-000037000000}" name="Column55"/>
    <tableColumn id="56" xr3:uid="{00000000-0010-0000-2600-000038000000}" name="Column56"/>
    <tableColumn id="57" xr3:uid="{00000000-0010-0000-2600-000039000000}" name="Column57"/>
    <tableColumn id="58" xr3:uid="{00000000-0010-0000-2600-00003A000000}" name="Column58"/>
    <tableColumn id="59" xr3:uid="{00000000-0010-0000-2600-00003B000000}" name="Column59"/>
    <tableColumn id="60" xr3:uid="{00000000-0010-0000-2600-00003C000000}" name="Column60"/>
    <tableColumn id="61" xr3:uid="{00000000-0010-0000-2600-00003D000000}" name="Column61"/>
    <tableColumn id="62" xr3:uid="{00000000-0010-0000-2600-00003E000000}" name="Column62"/>
    <tableColumn id="63" xr3:uid="{00000000-0010-0000-2600-00003F000000}" name="Column63"/>
    <tableColumn id="64" xr3:uid="{00000000-0010-0000-2600-000040000000}" name="Column64"/>
    <tableColumn id="65" xr3:uid="{00000000-0010-0000-2600-000041000000}" name="Column65"/>
    <tableColumn id="66" xr3:uid="{00000000-0010-0000-2600-000042000000}" name="Column66"/>
    <tableColumn id="67" xr3:uid="{00000000-0010-0000-2600-000043000000}" name="Column67"/>
    <tableColumn id="68" xr3:uid="{00000000-0010-0000-2600-000044000000}" name="Column68"/>
    <tableColumn id="69" xr3:uid="{00000000-0010-0000-2600-000045000000}" name="Column69"/>
    <tableColumn id="70" xr3:uid="{00000000-0010-0000-2600-000046000000}" name="Column70"/>
    <tableColumn id="71" xr3:uid="{00000000-0010-0000-2600-000047000000}" name="Column71"/>
    <tableColumn id="72" xr3:uid="{00000000-0010-0000-2600-000048000000}" name="Column72"/>
    <tableColumn id="73" xr3:uid="{00000000-0010-0000-2600-000049000000}" name="Column73"/>
    <tableColumn id="74" xr3:uid="{00000000-0010-0000-2600-00004A000000}" name="Column74"/>
    <tableColumn id="75" xr3:uid="{00000000-0010-0000-2600-00004B000000}" name="Column75"/>
    <tableColumn id="76" xr3:uid="{00000000-0010-0000-2600-00004C000000}" name="Column76"/>
    <tableColumn id="77" xr3:uid="{00000000-0010-0000-2600-00004D000000}" name="Column77"/>
    <tableColumn id="78" xr3:uid="{00000000-0010-0000-2600-00004E000000}" name="Column78"/>
    <tableColumn id="79" xr3:uid="{00000000-0010-0000-2600-00004F000000}" name="Column79"/>
    <tableColumn id="80" xr3:uid="{00000000-0010-0000-2600-000050000000}" name="Column80"/>
    <tableColumn id="81" xr3:uid="{00000000-0010-0000-2600-000051000000}" name="Column81"/>
    <tableColumn id="82" xr3:uid="{00000000-0010-0000-2600-000052000000}" name="Column82"/>
    <tableColumn id="83" xr3:uid="{00000000-0010-0000-2600-000053000000}" name="Column83"/>
    <tableColumn id="84" xr3:uid="{00000000-0010-0000-2600-000054000000}" name="Column84"/>
    <tableColumn id="85" xr3:uid="{00000000-0010-0000-2600-000055000000}" name="Column85"/>
    <tableColumn id="86" xr3:uid="{00000000-0010-0000-2600-000056000000}" name="Column86"/>
    <tableColumn id="87" xr3:uid="{00000000-0010-0000-2600-000057000000}" name="Column87"/>
    <tableColumn id="88" xr3:uid="{00000000-0010-0000-2600-000058000000}" name="Column88"/>
    <tableColumn id="89" xr3:uid="{00000000-0010-0000-2600-000059000000}" name="Column89"/>
    <tableColumn id="90" xr3:uid="{00000000-0010-0000-2600-00005A000000}" name="Column90"/>
  </tableColumns>
  <tableStyleInfo name="DATA_MODEL-style 13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Table_38" displayName="Table_38" ref="I14:CT14" headerRowCount="0">
  <tableColumns count="90">
    <tableColumn id="1" xr3:uid="{00000000-0010-0000-2700-000001000000}" name="Column1"/>
    <tableColumn id="2" xr3:uid="{00000000-0010-0000-2700-000002000000}" name="Column2"/>
    <tableColumn id="3" xr3:uid="{00000000-0010-0000-2700-000003000000}" name="Column3"/>
    <tableColumn id="4" xr3:uid="{00000000-0010-0000-2700-000004000000}" name="Column4"/>
    <tableColumn id="5" xr3:uid="{00000000-0010-0000-2700-000005000000}" name="Column5"/>
    <tableColumn id="6" xr3:uid="{00000000-0010-0000-2700-000006000000}" name="Column6"/>
    <tableColumn id="7" xr3:uid="{00000000-0010-0000-2700-000007000000}" name="Column7"/>
    <tableColumn id="8" xr3:uid="{00000000-0010-0000-2700-000008000000}" name="Column8"/>
    <tableColumn id="9" xr3:uid="{00000000-0010-0000-2700-000009000000}" name="Column9"/>
    <tableColumn id="10" xr3:uid="{00000000-0010-0000-2700-00000A000000}" name="Column10"/>
    <tableColumn id="11" xr3:uid="{00000000-0010-0000-2700-00000B000000}" name="Column11"/>
    <tableColumn id="12" xr3:uid="{00000000-0010-0000-2700-00000C000000}" name="Column12"/>
    <tableColumn id="13" xr3:uid="{00000000-0010-0000-2700-00000D000000}" name="Column13"/>
    <tableColumn id="14" xr3:uid="{00000000-0010-0000-2700-00000E000000}" name="Column14"/>
    <tableColumn id="15" xr3:uid="{00000000-0010-0000-2700-00000F000000}" name="Column15"/>
    <tableColumn id="16" xr3:uid="{00000000-0010-0000-2700-000010000000}" name="Column16"/>
    <tableColumn id="17" xr3:uid="{00000000-0010-0000-2700-000011000000}" name="Column17"/>
    <tableColumn id="18" xr3:uid="{00000000-0010-0000-2700-000012000000}" name="Column18"/>
    <tableColumn id="19" xr3:uid="{00000000-0010-0000-2700-000013000000}" name="Column19"/>
    <tableColumn id="20" xr3:uid="{00000000-0010-0000-2700-000014000000}" name="Column20"/>
    <tableColumn id="21" xr3:uid="{00000000-0010-0000-2700-000015000000}" name="Column21"/>
    <tableColumn id="22" xr3:uid="{00000000-0010-0000-2700-000016000000}" name="Column22"/>
    <tableColumn id="23" xr3:uid="{00000000-0010-0000-2700-000017000000}" name="Column23"/>
    <tableColumn id="24" xr3:uid="{00000000-0010-0000-2700-000018000000}" name="Column24"/>
    <tableColumn id="25" xr3:uid="{00000000-0010-0000-2700-000019000000}" name="Column25"/>
    <tableColumn id="26" xr3:uid="{00000000-0010-0000-2700-00001A000000}" name="Column26"/>
    <tableColumn id="27" xr3:uid="{00000000-0010-0000-2700-00001B000000}" name="Column27"/>
    <tableColumn id="28" xr3:uid="{00000000-0010-0000-2700-00001C000000}" name="Column28"/>
    <tableColumn id="29" xr3:uid="{00000000-0010-0000-2700-00001D000000}" name="Column29"/>
    <tableColumn id="30" xr3:uid="{00000000-0010-0000-2700-00001E000000}" name="Column30"/>
    <tableColumn id="31" xr3:uid="{00000000-0010-0000-2700-00001F000000}" name="Column31"/>
    <tableColumn id="32" xr3:uid="{00000000-0010-0000-2700-000020000000}" name="Column32"/>
    <tableColumn id="33" xr3:uid="{00000000-0010-0000-2700-000021000000}" name="Column33"/>
    <tableColumn id="34" xr3:uid="{00000000-0010-0000-2700-000022000000}" name="Column34"/>
    <tableColumn id="35" xr3:uid="{00000000-0010-0000-2700-000023000000}" name="Column35"/>
    <tableColumn id="36" xr3:uid="{00000000-0010-0000-2700-000024000000}" name="Column36"/>
    <tableColumn id="37" xr3:uid="{00000000-0010-0000-2700-000025000000}" name="Column37"/>
    <tableColumn id="38" xr3:uid="{00000000-0010-0000-2700-000026000000}" name="Column38"/>
    <tableColumn id="39" xr3:uid="{00000000-0010-0000-2700-000027000000}" name="Column39"/>
    <tableColumn id="40" xr3:uid="{00000000-0010-0000-2700-000028000000}" name="Column40"/>
    <tableColumn id="41" xr3:uid="{00000000-0010-0000-2700-000029000000}" name="Column41"/>
    <tableColumn id="42" xr3:uid="{00000000-0010-0000-2700-00002A000000}" name="Column42"/>
    <tableColumn id="43" xr3:uid="{00000000-0010-0000-2700-00002B000000}" name="Column43"/>
    <tableColumn id="44" xr3:uid="{00000000-0010-0000-2700-00002C000000}" name="Column44"/>
    <tableColumn id="45" xr3:uid="{00000000-0010-0000-2700-00002D000000}" name="Column45"/>
    <tableColumn id="46" xr3:uid="{00000000-0010-0000-2700-00002E000000}" name="Column46"/>
    <tableColumn id="47" xr3:uid="{00000000-0010-0000-2700-00002F000000}" name="Column47"/>
    <tableColumn id="48" xr3:uid="{00000000-0010-0000-2700-000030000000}" name="Column48"/>
    <tableColumn id="49" xr3:uid="{00000000-0010-0000-2700-000031000000}" name="Column49"/>
    <tableColumn id="50" xr3:uid="{00000000-0010-0000-2700-000032000000}" name="Column50"/>
    <tableColumn id="51" xr3:uid="{00000000-0010-0000-2700-000033000000}" name="Column51"/>
    <tableColumn id="52" xr3:uid="{00000000-0010-0000-2700-000034000000}" name="Column52"/>
    <tableColumn id="53" xr3:uid="{00000000-0010-0000-2700-000035000000}" name="Column53"/>
    <tableColumn id="54" xr3:uid="{00000000-0010-0000-2700-000036000000}" name="Column54"/>
    <tableColumn id="55" xr3:uid="{00000000-0010-0000-2700-000037000000}" name="Column55"/>
    <tableColumn id="56" xr3:uid="{00000000-0010-0000-2700-000038000000}" name="Column56"/>
    <tableColumn id="57" xr3:uid="{00000000-0010-0000-2700-000039000000}" name="Column57"/>
    <tableColumn id="58" xr3:uid="{00000000-0010-0000-2700-00003A000000}" name="Column58"/>
    <tableColumn id="59" xr3:uid="{00000000-0010-0000-2700-00003B000000}" name="Column59"/>
    <tableColumn id="60" xr3:uid="{00000000-0010-0000-2700-00003C000000}" name="Column60"/>
    <tableColumn id="61" xr3:uid="{00000000-0010-0000-2700-00003D000000}" name="Column61"/>
    <tableColumn id="62" xr3:uid="{00000000-0010-0000-2700-00003E000000}" name="Column62"/>
    <tableColumn id="63" xr3:uid="{00000000-0010-0000-2700-00003F000000}" name="Column63"/>
    <tableColumn id="64" xr3:uid="{00000000-0010-0000-2700-000040000000}" name="Column64"/>
    <tableColumn id="65" xr3:uid="{00000000-0010-0000-2700-000041000000}" name="Column65"/>
    <tableColumn id="66" xr3:uid="{00000000-0010-0000-2700-000042000000}" name="Column66"/>
    <tableColumn id="67" xr3:uid="{00000000-0010-0000-2700-000043000000}" name="Column67"/>
    <tableColumn id="68" xr3:uid="{00000000-0010-0000-2700-000044000000}" name="Column68"/>
    <tableColumn id="69" xr3:uid="{00000000-0010-0000-2700-000045000000}" name="Column69"/>
    <tableColumn id="70" xr3:uid="{00000000-0010-0000-2700-000046000000}" name="Column70"/>
    <tableColumn id="71" xr3:uid="{00000000-0010-0000-2700-000047000000}" name="Column71"/>
    <tableColumn id="72" xr3:uid="{00000000-0010-0000-2700-000048000000}" name="Column72"/>
    <tableColumn id="73" xr3:uid="{00000000-0010-0000-2700-000049000000}" name="Column73"/>
    <tableColumn id="74" xr3:uid="{00000000-0010-0000-2700-00004A000000}" name="Column74"/>
    <tableColumn id="75" xr3:uid="{00000000-0010-0000-2700-00004B000000}" name="Column75"/>
    <tableColumn id="76" xr3:uid="{00000000-0010-0000-2700-00004C000000}" name="Column76"/>
    <tableColumn id="77" xr3:uid="{00000000-0010-0000-2700-00004D000000}" name="Column77"/>
    <tableColumn id="78" xr3:uid="{00000000-0010-0000-2700-00004E000000}" name="Column78"/>
    <tableColumn id="79" xr3:uid="{00000000-0010-0000-2700-00004F000000}" name="Column79"/>
    <tableColumn id="80" xr3:uid="{00000000-0010-0000-2700-000050000000}" name="Column80"/>
    <tableColumn id="81" xr3:uid="{00000000-0010-0000-2700-000051000000}" name="Column81"/>
    <tableColumn id="82" xr3:uid="{00000000-0010-0000-2700-000052000000}" name="Column82"/>
    <tableColumn id="83" xr3:uid="{00000000-0010-0000-2700-000053000000}" name="Column83"/>
    <tableColumn id="84" xr3:uid="{00000000-0010-0000-2700-000054000000}" name="Column84"/>
    <tableColumn id="85" xr3:uid="{00000000-0010-0000-2700-000055000000}" name="Column85"/>
    <tableColumn id="86" xr3:uid="{00000000-0010-0000-2700-000056000000}" name="Column86"/>
    <tableColumn id="87" xr3:uid="{00000000-0010-0000-2700-000057000000}" name="Column87"/>
    <tableColumn id="88" xr3:uid="{00000000-0010-0000-2700-000058000000}" name="Column88"/>
    <tableColumn id="89" xr3:uid="{00000000-0010-0000-2700-000059000000}" name="Column89"/>
    <tableColumn id="90" xr3:uid="{00000000-0010-0000-2700-00005A000000}" name="Column90"/>
  </tableColumns>
  <tableStyleInfo name="DATA_MODEL-style 14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Table_39" displayName="Table_39" ref="I15:CT15" headerRowCount="0">
  <tableColumns count="90">
    <tableColumn id="1" xr3:uid="{00000000-0010-0000-2800-000001000000}" name="Column1"/>
    <tableColumn id="2" xr3:uid="{00000000-0010-0000-2800-000002000000}" name="Column2"/>
    <tableColumn id="3" xr3:uid="{00000000-0010-0000-2800-000003000000}" name="Column3"/>
    <tableColumn id="4" xr3:uid="{00000000-0010-0000-2800-000004000000}" name="Column4"/>
    <tableColumn id="5" xr3:uid="{00000000-0010-0000-2800-000005000000}" name="Column5"/>
    <tableColumn id="6" xr3:uid="{00000000-0010-0000-2800-000006000000}" name="Column6"/>
    <tableColumn id="7" xr3:uid="{00000000-0010-0000-2800-000007000000}" name="Column7"/>
    <tableColumn id="8" xr3:uid="{00000000-0010-0000-2800-000008000000}" name="Column8"/>
    <tableColumn id="9" xr3:uid="{00000000-0010-0000-2800-000009000000}" name="Column9"/>
    <tableColumn id="10" xr3:uid="{00000000-0010-0000-2800-00000A000000}" name="Column10"/>
    <tableColumn id="11" xr3:uid="{00000000-0010-0000-2800-00000B000000}" name="Column11"/>
    <tableColumn id="12" xr3:uid="{00000000-0010-0000-2800-00000C000000}" name="Column12"/>
    <tableColumn id="13" xr3:uid="{00000000-0010-0000-2800-00000D000000}" name="Column13"/>
    <tableColumn id="14" xr3:uid="{00000000-0010-0000-2800-00000E000000}" name="Column14"/>
    <tableColumn id="15" xr3:uid="{00000000-0010-0000-2800-00000F000000}" name="Column15"/>
    <tableColumn id="16" xr3:uid="{00000000-0010-0000-2800-000010000000}" name="Column16"/>
    <tableColumn id="17" xr3:uid="{00000000-0010-0000-2800-000011000000}" name="Column17"/>
    <tableColumn id="18" xr3:uid="{00000000-0010-0000-2800-000012000000}" name="Column18"/>
    <tableColumn id="19" xr3:uid="{00000000-0010-0000-2800-000013000000}" name="Column19"/>
    <tableColumn id="20" xr3:uid="{00000000-0010-0000-2800-000014000000}" name="Column20"/>
    <tableColumn id="21" xr3:uid="{00000000-0010-0000-2800-000015000000}" name="Column21"/>
    <tableColumn id="22" xr3:uid="{00000000-0010-0000-2800-000016000000}" name="Column22"/>
    <tableColumn id="23" xr3:uid="{00000000-0010-0000-2800-000017000000}" name="Column23"/>
    <tableColumn id="24" xr3:uid="{00000000-0010-0000-2800-000018000000}" name="Column24"/>
    <tableColumn id="25" xr3:uid="{00000000-0010-0000-2800-000019000000}" name="Column25"/>
    <tableColumn id="26" xr3:uid="{00000000-0010-0000-2800-00001A000000}" name="Column26"/>
    <tableColumn id="27" xr3:uid="{00000000-0010-0000-2800-00001B000000}" name="Column27"/>
    <tableColumn id="28" xr3:uid="{00000000-0010-0000-2800-00001C000000}" name="Column28"/>
    <tableColumn id="29" xr3:uid="{00000000-0010-0000-2800-00001D000000}" name="Column29"/>
    <tableColumn id="30" xr3:uid="{00000000-0010-0000-2800-00001E000000}" name="Column30"/>
    <tableColumn id="31" xr3:uid="{00000000-0010-0000-2800-00001F000000}" name="Column31"/>
    <tableColumn id="32" xr3:uid="{00000000-0010-0000-2800-000020000000}" name="Column32"/>
    <tableColumn id="33" xr3:uid="{00000000-0010-0000-2800-000021000000}" name="Column33"/>
    <tableColumn id="34" xr3:uid="{00000000-0010-0000-2800-000022000000}" name="Column34"/>
    <tableColumn id="35" xr3:uid="{00000000-0010-0000-2800-000023000000}" name="Column35"/>
    <tableColumn id="36" xr3:uid="{00000000-0010-0000-2800-000024000000}" name="Column36"/>
    <tableColumn id="37" xr3:uid="{00000000-0010-0000-2800-000025000000}" name="Column37"/>
    <tableColumn id="38" xr3:uid="{00000000-0010-0000-2800-000026000000}" name="Column38"/>
    <tableColumn id="39" xr3:uid="{00000000-0010-0000-2800-000027000000}" name="Column39"/>
    <tableColumn id="40" xr3:uid="{00000000-0010-0000-2800-000028000000}" name="Column40"/>
    <tableColumn id="41" xr3:uid="{00000000-0010-0000-2800-000029000000}" name="Column41"/>
    <tableColumn id="42" xr3:uid="{00000000-0010-0000-2800-00002A000000}" name="Column42"/>
    <tableColumn id="43" xr3:uid="{00000000-0010-0000-2800-00002B000000}" name="Column43"/>
    <tableColumn id="44" xr3:uid="{00000000-0010-0000-2800-00002C000000}" name="Column44"/>
    <tableColumn id="45" xr3:uid="{00000000-0010-0000-2800-00002D000000}" name="Column45"/>
    <tableColumn id="46" xr3:uid="{00000000-0010-0000-2800-00002E000000}" name="Column46"/>
    <tableColumn id="47" xr3:uid="{00000000-0010-0000-2800-00002F000000}" name="Column47"/>
    <tableColumn id="48" xr3:uid="{00000000-0010-0000-2800-000030000000}" name="Column48"/>
    <tableColumn id="49" xr3:uid="{00000000-0010-0000-2800-000031000000}" name="Column49"/>
    <tableColumn id="50" xr3:uid="{00000000-0010-0000-2800-000032000000}" name="Column50"/>
    <tableColumn id="51" xr3:uid="{00000000-0010-0000-2800-000033000000}" name="Column51"/>
    <tableColumn id="52" xr3:uid="{00000000-0010-0000-2800-000034000000}" name="Column52"/>
    <tableColumn id="53" xr3:uid="{00000000-0010-0000-2800-000035000000}" name="Column53"/>
    <tableColumn id="54" xr3:uid="{00000000-0010-0000-2800-000036000000}" name="Column54"/>
    <tableColumn id="55" xr3:uid="{00000000-0010-0000-2800-000037000000}" name="Column55"/>
    <tableColumn id="56" xr3:uid="{00000000-0010-0000-2800-000038000000}" name="Column56"/>
    <tableColumn id="57" xr3:uid="{00000000-0010-0000-2800-000039000000}" name="Column57"/>
    <tableColumn id="58" xr3:uid="{00000000-0010-0000-2800-00003A000000}" name="Column58"/>
    <tableColumn id="59" xr3:uid="{00000000-0010-0000-2800-00003B000000}" name="Column59"/>
    <tableColumn id="60" xr3:uid="{00000000-0010-0000-2800-00003C000000}" name="Column60"/>
    <tableColumn id="61" xr3:uid="{00000000-0010-0000-2800-00003D000000}" name="Column61"/>
    <tableColumn id="62" xr3:uid="{00000000-0010-0000-2800-00003E000000}" name="Column62"/>
    <tableColumn id="63" xr3:uid="{00000000-0010-0000-2800-00003F000000}" name="Column63"/>
    <tableColumn id="64" xr3:uid="{00000000-0010-0000-2800-000040000000}" name="Column64"/>
    <tableColumn id="65" xr3:uid="{00000000-0010-0000-2800-000041000000}" name="Column65"/>
    <tableColumn id="66" xr3:uid="{00000000-0010-0000-2800-000042000000}" name="Column66"/>
    <tableColumn id="67" xr3:uid="{00000000-0010-0000-2800-000043000000}" name="Column67"/>
    <tableColumn id="68" xr3:uid="{00000000-0010-0000-2800-000044000000}" name="Column68"/>
    <tableColumn id="69" xr3:uid="{00000000-0010-0000-2800-000045000000}" name="Column69"/>
    <tableColumn id="70" xr3:uid="{00000000-0010-0000-2800-000046000000}" name="Column70"/>
    <tableColumn id="71" xr3:uid="{00000000-0010-0000-2800-000047000000}" name="Column71"/>
    <tableColumn id="72" xr3:uid="{00000000-0010-0000-2800-000048000000}" name="Column72"/>
    <tableColumn id="73" xr3:uid="{00000000-0010-0000-2800-000049000000}" name="Column73"/>
    <tableColumn id="74" xr3:uid="{00000000-0010-0000-2800-00004A000000}" name="Column74"/>
    <tableColumn id="75" xr3:uid="{00000000-0010-0000-2800-00004B000000}" name="Column75"/>
    <tableColumn id="76" xr3:uid="{00000000-0010-0000-2800-00004C000000}" name="Column76"/>
    <tableColumn id="77" xr3:uid="{00000000-0010-0000-2800-00004D000000}" name="Column77"/>
    <tableColumn id="78" xr3:uid="{00000000-0010-0000-2800-00004E000000}" name="Column78"/>
    <tableColumn id="79" xr3:uid="{00000000-0010-0000-2800-00004F000000}" name="Column79"/>
    <tableColumn id="80" xr3:uid="{00000000-0010-0000-2800-000050000000}" name="Column80"/>
    <tableColumn id="81" xr3:uid="{00000000-0010-0000-2800-000051000000}" name="Column81"/>
    <tableColumn id="82" xr3:uid="{00000000-0010-0000-2800-000052000000}" name="Column82"/>
    <tableColumn id="83" xr3:uid="{00000000-0010-0000-2800-000053000000}" name="Column83"/>
    <tableColumn id="84" xr3:uid="{00000000-0010-0000-2800-000054000000}" name="Column84"/>
    <tableColumn id="85" xr3:uid="{00000000-0010-0000-2800-000055000000}" name="Column85"/>
    <tableColumn id="86" xr3:uid="{00000000-0010-0000-2800-000056000000}" name="Column86"/>
    <tableColumn id="87" xr3:uid="{00000000-0010-0000-2800-000057000000}" name="Column87"/>
    <tableColumn id="88" xr3:uid="{00000000-0010-0000-2800-000058000000}" name="Column88"/>
    <tableColumn id="89" xr3:uid="{00000000-0010-0000-2800-000059000000}" name="Column89"/>
    <tableColumn id="90" xr3:uid="{00000000-0010-0000-2800-00005A000000}" name="Column90"/>
  </tableColumns>
  <tableStyleInfo name="DATA_MODEL-style 15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Table_40" displayName="Table_40" ref="I16:CT16" headerRowCount="0">
  <tableColumns count="90">
    <tableColumn id="1" xr3:uid="{00000000-0010-0000-2900-000001000000}" name="Column1"/>
    <tableColumn id="2" xr3:uid="{00000000-0010-0000-2900-000002000000}" name="Column2"/>
    <tableColumn id="3" xr3:uid="{00000000-0010-0000-2900-000003000000}" name="Column3"/>
    <tableColumn id="4" xr3:uid="{00000000-0010-0000-2900-000004000000}" name="Column4"/>
    <tableColumn id="5" xr3:uid="{00000000-0010-0000-2900-000005000000}" name="Column5"/>
    <tableColumn id="6" xr3:uid="{00000000-0010-0000-2900-000006000000}" name="Column6"/>
    <tableColumn id="7" xr3:uid="{00000000-0010-0000-2900-000007000000}" name="Column7"/>
    <tableColumn id="8" xr3:uid="{00000000-0010-0000-2900-000008000000}" name="Column8"/>
    <tableColumn id="9" xr3:uid="{00000000-0010-0000-2900-000009000000}" name="Column9"/>
    <tableColumn id="10" xr3:uid="{00000000-0010-0000-2900-00000A000000}" name="Column10"/>
    <tableColumn id="11" xr3:uid="{00000000-0010-0000-2900-00000B000000}" name="Column11"/>
    <tableColumn id="12" xr3:uid="{00000000-0010-0000-2900-00000C000000}" name="Column12"/>
    <tableColumn id="13" xr3:uid="{00000000-0010-0000-2900-00000D000000}" name="Column13"/>
    <tableColumn id="14" xr3:uid="{00000000-0010-0000-2900-00000E000000}" name="Column14"/>
    <tableColumn id="15" xr3:uid="{00000000-0010-0000-2900-00000F000000}" name="Column15"/>
    <tableColumn id="16" xr3:uid="{00000000-0010-0000-2900-000010000000}" name="Column16"/>
    <tableColumn id="17" xr3:uid="{00000000-0010-0000-2900-000011000000}" name="Column17"/>
    <tableColumn id="18" xr3:uid="{00000000-0010-0000-2900-000012000000}" name="Column18"/>
    <tableColumn id="19" xr3:uid="{00000000-0010-0000-2900-000013000000}" name="Column19"/>
    <tableColumn id="20" xr3:uid="{00000000-0010-0000-2900-000014000000}" name="Column20"/>
    <tableColumn id="21" xr3:uid="{00000000-0010-0000-2900-000015000000}" name="Column21"/>
    <tableColumn id="22" xr3:uid="{00000000-0010-0000-2900-000016000000}" name="Column22"/>
    <tableColumn id="23" xr3:uid="{00000000-0010-0000-2900-000017000000}" name="Column23"/>
    <tableColumn id="24" xr3:uid="{00000000-0010-0000-2900-000018000000}" name="Column24"/>
    <tableColumn id="25" xr3:uid="{00000000-0010-0000-2900-000019000000}" name="Column25"/>
    <tableColumn id="26" xr3:uid="{00000000-0010-0000-2900-00001A000000}" name="Column26"/>
    <tableColumn id="27" xr3:uid="{00000000-0010-0000-2900-00001B000000}" name="Column27"/>
    <tableColumn id="28" xr3:uid="{00000000-0010-0000-2900-00001C000000}" name="Column28"/>
    <tableColumn id="29" xr3:uid="{00000000-0010-0000-2900-00001D000000}" name="Column29"/>
    <tableColumn id="30" xr3:uid="{00000000-0010-0000-2900-00001E000000}" name="Column30"/>
    <tableColumn id="31" xr3:uid="{00000000-0010-0000-2900-00001F000000}" name="Column31"/>
    <tableColumn id="32" xr3:uid="{00000000-0010-0000-2900-000020000000}" name="Column32"/>
    <tableColumn id="33" xr3:uid="{00000000-0010-0000-2900-000021000000}" name="Column33"/>
    <tableColumn id="34" xr3:uid="{00000000-0010-0000-2900-000022000000}" name="Column34"/>
    <tableColumn id="35" xr3:uid="{00000000-0010-0000-2900-000023000000}" name="Column35"/>
    <tableColumn id="36" xr3:uid="{00000000-0010-0000-2900-000024000000}" name="Column36"/>
    <tableColumn id="37" xr3:uid="{00000000-0010-0000-2900-000025000000}" name="Column37"/>
    <tableColumn id="38" xr3:uid="{00000000-0010-0000-2900-000026000000}" name="Column38"/>
    <tableColumn id="39" xr3:uid="{00000000-0010-0000-2900-000027000000}" name="Column39"/>
    <tableColumn id="40" xr3:uid="{00000000-0010-0000-2900-000028000000}" name="Column40"/>
    <tableColumn id="41" xr3:uid="{00000000-0010-0000-2900-000029000000}" name="Column41"/>
    <tableColumn id="42" xr3:uid="{00000000-0010-0000-2900-00002A000000}" name="Column42"/>
    <tableColumn id="43" xr3:uid="{00000000-0010-0000-2900-00002B000000}" name="Column43"/>
    <tableColumn id="44" xr3:uid="{00000000-0010-0000-2900-00002C000000}" name="Column44"/>
    <tableColumn id="45" xr3:uid="{00000000-0010-0000-2900-00002D000000}" name="Column45"/>
    <tableColumn id="46" xr3:uid="{00000000-0010-0000-2900-00002E000000}" name="Column46"/>
    <tableColumn id="47" xr3:uid="{00000000-0010-0000-2900-00002F000000}" name="Column47"/>
    <tableColumn id="48" xr3:uid="{00000000-0010-0000-2900-000030000000}" name="Column48"/>
    <tableColumn id="49" xr3:uid="{00000000-0010-0000-2900-000031000000}" name="Column49"/>
    <tableColumn id="50" xr3:uid="{00000000-0010-0000-2900-000032000000}" name="Column50"/>
    <tableColumn id="51" xr3:uid="{00000000-0010-0000-2900-000033000000}" name="Column51"/>
    <tableColumn id="52" xr3:uid="{00000000-0010-0000-2900-000034000000}" name="Column52"/>
    <tableColumn id="53" xr3:uid="{00000000-0010-0000-2900-000035000000}" name="Column53"/>
    <tableColumn id="54" xr3:uid="{00000000-0010-0000-2900-000036000000}" name="Column54"/>
    <tableColumn id="55" xr3:uid="{00000000-0010-0000-2900-000037000000}" name="Column55"/>
    <tableColumn id="56" xr3:uid="{00000000-0010-0000-2900-000038000000}" name="Column56"/>
    <tableColumn id="57" xr3:uid="{00000000-0010-0000-2900-000039000000}" name="Column57"/>
    <tableColumn id="58" xr3:uid="{00000000-0010-0000-2900-00003A000000}" name="Column58"/>
    <tableColumn id="59" xr3:uid="{00000000-0010-0000-2900-00003B000000}" name="Column59"/>
    <tableColumn id="60" xr3:uid="{00000000-0010-0000-2900-00003C000000}" name="Column60"/>
    <tableColumn id="61" xr3:uid="{00000000-0010-0000-2900-00003D000000}" name="Column61"/>
    <tableColumn id="62" xr3:uid="{00000000-0010-0000-2900-00003E000000}" name="Column62"/>
    <tableColumn id="63" xr3:uid="{00000000-0010-0000-2900-00003F000000}" name="Column63"/>
    <tableColumn id="64" xr3:uid="{00000000-0010-0000-2900-000040000000}" name="Column64"/>
    <tableColumn id="65" xr3:uid="{00000000-0010-0000-2900-000041000000}" name="Column65"/>
    <tableColumn id="66" xr3:uid="{00000000-0010-0000-2900-000042000000}" name="Column66"/>
    <tableColumn id="67" xr3:uid="{00000000-0010-0000-2900-000043000000}" name="Column67"/>
    <tableColumn id="68" xr3:uid="{00000000-0010-0000-2900-000044000000}" name="Column68"/>
    <tableColumn id="69" xr3:uid="{00000000-0010-0000-2900-000045000000}" name="Column69"/>
    <tableColumn id="70" xr3:uid="{00000000-0010-0000-2900-000046000000}" name="Column70"/>
    <tableColumn id="71" xr3:uid="{00000000-0010-0000-2900-000047000000}" name="Column71"/>
    <tableColumn id="72" xr3:uid="{00000000-0010-0000-2900-000048000000}" name="Column72"/>
    <tableColumn id="73" xr3:uid="{00000000-0010-0000-2900-000049000000}" name="Column73"/>
    <tableColumn id="74" xr3:uid="{00000000-0010-0000-2900-00004A000000}" name="Column74"/>
    <tableColumn id="75" xr3:uid="{00000000-0010-0000-2900-00004B000000}" name="Column75"/>
    <tableColumn id="76" xr3:uid="{00000000-0010-0000-2900-00004C000000}" name="Column76"/>
    <tableColumn id="77" xr3:uid="{00000000-0010-0000-2900-00004D000000}" name="Column77"/>
    <tableColumn id="78" xr3:uid="{00000000-0010-0000-2900-00004E000000}" name="Column78"/>
    <tableColumn id="79" xr3:uid="{00000000-0010-0000-2900-00004F000000}" name="Column79"/>
    <tableColumn id="80" xr3:uid="{00000000-0010-0000-2900-000050000000}" name="Column80"/>
    <tableColumn id="81" xr3:uid="{00000000-0010-0000-2900-000051000000}" name="Column81"/>
    <tableColumn id="82" xr3:uid="{00000000-0010-0000-2900-000052000000}" name="Column82"/>
    <tableColumn id="83" xr3:uid="{00000000-0010-0000-2900-000053000000}" name="Column83"/>
    <tableColumn id="84" xr3:uid="{00000000-0010-0000-2900-000054000000}" name="Column84"/>
    <tableColumn id="85" xr3:uid="{00000000-0010-0000-2900-000055000000}" name="Column85"/>
    <tableColumn id="86" xr3:uid="{00000000-0010-0000-2900-000056000000}" name="Column86"/>
    <tableColumn id="87" xr3:uid="{00000000-0010-0000-2900-000057000000}" name="Column87"/>
    <tableColumn id="88" xr3:uid="{00000000-0010-0000-2900-000058000000}" name="Column88"/>
    <tableColumn id="89" xr3:uid="{00000000-0010-0000-2900-000059000000}" name="Column89"/>
    <tableColumn id="90" xr3:uid="{00000000-0010-0000-2900-00005A000000}" name="Column90"/>
  </tableColumns>
  <tableStyleInfo name="DATA_MODEL-style 16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Table_41" displayName="Table_41" ref="A17:G17" headerRowCount="0">
  <tableColumns count="7">
    <tableColumn id="1" xr3:uid="{00000000-0010-0000-2A00-000001000000}" name="Column1"/>
    <tableColumn id="2" xr3:uid="{00000000-0010-0000-2A00-000002000000}" name="Column2"/>
    <tableColumn id="3" xr3:uid="{00000000-0010-0000-2A00-000003000000}" name="Column3"/>
    <tableColumn id="4" xr3:uid="{00000000-0010-0000-2A00-000004000000}" name="Column4"/>
    <tableColumn id="5" xr3:uid="{00000000-0010-0000-2A00-000005000000}" name="Column5"/>
    <tableColumn id="6" xr3:uid="{00000000-0010-0000-2A00-000006000000}" name="Column6"/>
    <tableColumn id="7" xr3:uid="{00000000-0010-0000-2A00-000007000000}" name="Column7"/>
  </tableColumns>
  <tableStyleInfo name="DATA_MODEL-style 17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Table_42" displayName="Table_42" ref="A18:H18" headerRowCount="0">
  <tableColumns count="8">
    <tableColumn id="1" xr3:uid="{00000000-0010-0000-2B00-000001000000}" name="Column1"/>
    <tableColumn id="2" xr3:uid="{00000000-0010-0000-2B00-000002000000}" name="Column2"/>
    <tableColumn id="3" xr3:uid="{00000000-0010-0000-2B00-000003000000}" name="Column3"/>
    <tableColumn id="4" xr3:uid="{00000000-0010-0000-2B00-000004000000}" name="Column4"/>
    <tableColumn id="5" xr3:uid="{00000000-0010-0000-2B00-000005000000}" name="Column5"/>
    <tableColumn id="6" xr3:uid="{00000000-0010-0000-2B00-000006000000}" name="Column6"/>
    <tableColumn id="7" xr3:uid="{00000000-0010-0000-2B00-000007000000}" name="Column7"/>
    <tableColumn id="8" xr3:uid="{00000000-0010-0000-2B00-000008000000}" name="Column8"/>
  </tableColumns>
  <tableStyleInfo name="DATA_MODEL-style 18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Table_43" displayName="Table_43" ref="A19:H19" headerRowCount="0">
  <tableColumns count="8">
    <tableColumn id="1" xr3:uid="{00000000-0010-0000-2C00-000001000000}" name="Column1"/>
    <tableColumn id="2" xr3:uid="{00000000-0010-0000-2C00-000002000000}" name="Column2"/>
    <tableColumn id="3" xr3:uid="{00000000-0010-0000-2C00-000003000000}" name="Column3"/>
    <tableColumn id="4" xr3:uid="{00000000-0010-0000-2C00-000004000000}" name="Column4"/>
    <tableColumn id="5" xr3:uid="{00000000-0010-0000-2C00-000005000000}" name="Column5"/>
    <tableColumn id="6" xr3:uid="{00000000-0010-0000-2C00-000006000000}" name="Column6"/>
    <tableColumn id="7" xr3:uid="{00000000-0010-0000-2C00-000007000000}" name="Column7"/>
    <tableColumn id="8" xr3:uid="{00000000-0010-0000-2C00-000008000000}" name="Column8"/>
  </tableColumns>
  <tableStyleInfo name="DATA_MODEL-style 19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Table_44" displayName="Table_44" ref="A20:G20" headerRowCount="0">
  <tableColumns count="7">
    <tableColumn id="1" xr3:uid="{00000000-0010-0000-2D00-000001000000}" name="Column1"/>
    <tableColumn id="2" xr3:uid="{00000000-0010-0000-2D00-000002000000}" name="Column2"/>
    <tableColumn id="3" xr3:uid="{00000000-0010-0000-2D00-000003000000}" name="Column3"/>
    <tableColumn id="4" xr3:uid="{00000000-0010-0000-2D00-000004000000}" name="Column4"/>
    <tableColumn id="5" xr3:uid="{00000000-0010-0000-2D00-000005000000}" name="Column5"/>
    <tableColumn id="6" xr3:uid="{00000000-0010-0000-2D00-000006000000}" name="Column6"/>
    <tableColumn id="7" xr3:uid="{00000000-0010-0000-2D00-000007000000}" name="Column7"/>
  </tableColumns>
  <tableStyleInfo name="DATA_MODEL-style 20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Table_45" displayName="Table_45" ref="A21:G21" headerRowCount="0">
  <tableColumns count="7">
    <tableColumn id="1" xr3:uid="{00000000-0010-0000-2E00-000001000000}" name="Column1"/>
    <tableColumn id="2" xr3:uid="{00000000-0010-0000-2E00-000002000000}" name="Column2"/>
    <tableColumn id="3" xr3:uid="{00000000-0010-0000-2E00-000003000000}" name="Column3"/>
    <tableColumn id="4" xr3:uid="{00000000-0010-0000-2E00-000004000000}" name="Column4"/>
    <tableColumn id="5" xr3:uid="{00000000-0010-0000-2E00-000005000000}" name="Column5"/>
    <tableColumn id="6" xr3:uid="{00000000-0010-0000-2E00-000006000000}" name="Column6"/>
    <tableColumn id="7" xr3:uid="{00000000-0010-0000-2E00-000007000000}" name="Column7"/>
  </tableColumns>
  <tableStyleInfo name="DATA_MODEL-style 21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Table_46" displayName="Table_46" ref="A22:E22" headerRowCount="0">
  <tableColumns count="5">
    <tableColumn id="1" xr3:uid="{00000000-0010-0000-2F00-000001000000}" name="Column1"/>
    <tableColumn id="2" xr3:uid="{00000000-0010-0000-2F00-000002000000}" name="Column2"/>
    <tableColumn id="3" xr3:uid="{00000000-0010-0000-2F00-000003000000}" name="Column3"/>
    <tableColumn id="4" xr3:uid="{00000000-0010-0000-2F00-000004000000}" name="Column4"/>
    <tableColumn id="5" xr3:uid="{00000000-0010-0000-2F00-000005000000}" name="Column5"/>
  </tableColumns>
  <tableStyleInfo name="DATA_MODEL-style 22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Table_47" displayName="Table_47" ref="A23:E61" headerRowCount="0">
  <tableColumns count="5">
    <tableColumn id="1" xr3:uid="{00000000-0010-0000-3000-000001000000}" name="Column1"/>
    <tableColumn id="2" xr3:uid="{00000000-0010-0000-3000-000002000000}" name="Column2"/>
    <tableColumn id="3" xr3:uid="{00000000-0010-0000-3000-000003000000}" name="Column3"/>
    <tableColumn id="4" xr3:uid="{00000000-0010-0000-3000-000004000000}" name="Column4"/>
    <tableColumn id="5" xr3:uid="{00000000-0010-0000-3000-000005000000}" name="Column5"/>
  </tableColumns>
  <tableStyleInfo name="DATA_MODEL-style 23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Table_48" displayName="Table_48" ref="I29:CT29" headerRowCount="0">
  <tableColumns count="90">
    <tableColumn id="1" xr3:uid="{00000000-0010-0000-3100-000001000000}" name="Column1"/>
    <tableColumn id="2" xr3:uid="{00000000-0010-0000-3100-000002000000}" name="Column2"/>
    <tableColumn id="3" xr3:uid="{00000000-0010-0000-3100-000003000000}" name="Column3"/>
    <tableColumn id="4" xr3:uid="{00000000-0010-0000-3100-000004000000}" name="Column4"/>
    <tableColumn id="5" xr3:uid="{00000000-0010-0000-3100-000005000000}" name="Column5"/>
    <tableColumn id="6" xr3:uid="{00000000-0010-0000-3100-000006000000}" name="Column6"/>
    <tableColumn id="7" xr3:uid="{00000000-0010-0000-3100-000007000000}" name="Column7"/>
    <tableColumn id="8" xr3:uid="{00000000-0010-0000-3100-000008000000}" name="Column8"/>
    <tableColumn id="9" xr3:uid="{00000000-0010-0000-3100-000009000000}" name="Column9"/>
    <tableColumn id="10" xr3:uid="{00000000-0010-0000-3100-00000A000000}" name="Column10"/>
    <tableColumn id="11" xr3:uid="{00000000-0010-0000-3100-00000B000000}" name="Column11"/>
    <tableColumn id="12" xr3:uid="{00000000-0010-0000-3100-00000C000000}" name="Column12"/>
    <tableColumn id="13" xr3:uid="{00000000-0010-0000-3100-00000D000000}" name="Column13"/>
    <tableColumn id="14" xr3:uid="{00000000-0010-0000-3100-00000E000000}" name="Column14"/>
    <tableColumn id="15" xr3:uid="{00000000-0010-0000-3100-00000F000000}" name="Column15"/>
    <tableColumn id="16" xr3:uid="{00000000-0010-0000-3100-000010000000}" name="Column16"/>
    <tableColumn id="17" xr3:uid="{00000000-0010-0000-3100-000011000000}" name="Column17"/>
    <tableColumn id="18" xr3:uid="{00000000-0010-0000-3100-000012000000}" name="Column18"/>
    <tableColumn id="19" xr3:uid="{00000000-0010-0000-3100-000013000000}" name="Column19"/>
    <tableColumn id="20" xr3:uid="{00000000-0010-0000-3100-000014000000}" name="Column20"/>
    <tableColumn id="21" xr3:uid="{00000000-0010-0000-3100-000015000000}" name="Column21"/>
    <tableColumn id="22" xr3:uid="{00000000-0010-0000-3100-000016000000}" name="Column22"/>
    <tableColumn id="23" xr3:uid="{00000000-0010-0000-3100-000017000000}" name="Column23"/>
    <tableColumn id="24" xr3:uid="{00000000-0010-0000-3100-000018000000}" name="Column24"/>
    <tableColumn id="25" xr3:uid="{00000000-0010-0000-3100-000019000000}" name="Column25"/>
    <tableColumn id="26" xr3:uid="{00000000-0010-0000-3100-00001A000000}" name="Column26"/>
    <tableColumn id="27" xr3:uid="{00000000-0010-0000-3100-00001B000000}" name="Column27"/>
    <tableColumn id="28" xr3:uid="{00000000-0010-0000-3100-00001C000000}" name="Column28"/>
    <tableColumn id="29" xr3:uid="{00000000-0010-0000-3100-00001D000000}" name="Column29"/>
    <tableColumn id="30" xr3:uid="{00000000-0010-0000-3100-00001E000000}" name="Column30"/>
    <tableColumn id="31" xr3:uid="{00000000-0010-0000-3100-00001F000000}" name="Column31"/>
    <tableColumn id="32" xr3:uid="{00000000-0010-0000-3100-000020000000}" name="Column32"/>
    <tableColumn id="33" xr3:uid="{00000000-0010-0000-3100-000021000000}" name="Column33"/>
    <tableColumn id="34" xr3:uid="{00000000-0010-0000-3100-000022000000}" name="Column34"/>
    <tableColumn id="35" xr3:uid="{00000000-0010-0000-3100-000023000000}" name="Column35"/>
    <tableColumn id="36" xr3:uid="{00000000-0010-0000-3100-000024000000}" name="Column36"/>
    <tableColumn id="37" xr3:uid="{00000000-0010-0000-3100-000025000000}" name="Column37"/>
    <tableColumn id="38" xr3:uid="{00000000-0010-0000-3100-000026000000}" name="Column38"/>
    <tableColumn id="39" xr3:uid="{00000000-0010-0000-3100-000027000000}" name="Column39"/>
    <tableColumn id="40" xr3:uid="{00000000-0010-0000-3100-000028000000}" name="Column40"/>
    <tableColumn id="41" xr3:uid="{00000000-0010-0000-3100-000029000000}" name="Column41"/>
    <tableColumn id="42" xr3:uid="{00000000-0010-0000-3100-00002A000000}" name="Column42"/>
    <tableColumn id="43" xr3:uid="{00000000-0010-0000-3100-00002B000000}" name="Column43"/>
    <tableColumn id="44" xr3:uid="{00000000-0010-0000-3100-00002C000000}" name="Column44"/>
    <tableColumn id="45" xr3:uid="{00000000-0010-0000-3100-00002D000000}" name="Column45"/>
    <tableColumn id="46" xr3:uid="{00000000-0010-0000-3100-00002E000000}" name="Column46"/>
    <tableColumn id="47" xr3:uid="{00000000-0010-0000-3100-00002F000000}" name="Column47"/>
    <tableColumn id="48" xr3:uid="{00000000-0010-0000-3100-000030000000}" name="Column48"/>
    <tableColumn id="49" xr3:uid="{00000000-0010-0000-3100-000031000000}" name="Column49"/>
    <tableColumn id="50" xr3:uid="{00000000-0010-0000-3100-000032000000}" name="Column50"/>
    <tableColumn id="51" xr3:uid="{00000000-0010-0000-3100-000033000000}" name="Column51"/>
    <tableColumn id="52" xr3:uid="{00000000-0010-0000-3100-000034000000}" name="Column52"/>
    <tableColumn id="53" xr3:uid="{00000000-0010-0000-3100-000035000000}" name="Column53"/>
    <tableColumn id="54" xr3:uid="{00000000-0010-0000-3100-000036000000}" name="Column54"/>
    <tableColumn id="55" xr3:uid="{00000000-0010-0000-3100-000037000000}" name="Column55"/>
    <tableColumn id="56" xr3:uid="{00000000-0010-0000-3100-000038000000}" name="Column56"/>
    <tableColumn id="57" xr3:uid="{00000000-0010-0000-3100-000039000000}" name="Column57"/>
    <tableColumn id="58" xr3:uid="{00000000-0010-0000-3100-00003A000000}" name="Column58"/>
    <tableColumn id="59" xr3:uid="{00000000-0010-0000-3100-00003B000000}" name="Column59"/>
    <tableColumn id="60" xr3:uid="{00000000-0010-0000-3100-00003C000000}" name="Column60"/>
    <tableColumn id="61" xr3:uid="{00000000-0010-0000-3100-00003D000000}" name="Column61"/>
    <tableColumn id="62" xr3:uid="{00000000-0010-0000-3100-00003E000000}" name="Column62"/>
    <tableColumn id="63" xr3:uid="{00000000-0010-0000-3100-00003F000000}" name="Column63"/>
    <tableColumn id="64" xr3:uid="{00000000-0010-0000-3100-000040000000}" name="Column64"/>
    <tableColumn id="65" xr3:uid="{00000000-0010-0000-3100-000041000000}" name="Column65"/>
    <tableColumn id="66" xr3:uid="{00000000-0010-0000-3100-000042000000}" name="Column66"/>
    <tableColumn id="67" xr3:uid="{00000000-0010-0000-3100-000043000000}" name="Column67"/>
    <tableColumn id="68" xr3:uid="{00000000-0010-0000-3100-000044000000}" name="Column68"/>
    <tableColumn id="69" xr3:uid="{00000000-0010-0000-3100-000045000000}" name="Column69"/>
    <tableColumn id="70" xr3:uid="{00000000-0010-0000-3100-000046000000}" name="Column70"/>
    <tableColumn id="71" xr3:uid="{00000000-0010-0000-3100-000047000000}" name="Column71"/>
    <tableColumn id="72" xr3:uid="{00000000-0010-0000-3100-000048000000}" name="Column72"/>
    <tableColumn id="73" xr3:uid="{00000000-0010-0000-3100-000049000000}" name="Column73"/>
    <tableColumn id="74" xr3:uid="{00000000-0010-0000-3100-00004A000000}" name="Column74"/>
    <tableColumn id="75" xr3:uid="{00000000-0010-0000-3100-00004B000000}" name="Column75"/>
    <tableColumn id="76" xr3:uid="{00000000-0010-0000-3100-00004C000000}" name="Column76"/>
    <tableColumn id="77" xr3:uid="{00000000-0010-0000-3100-00004D000000}" name="Column77"/>
    <tableColumn id="78" xr3:uid="{00000000-0010-0000-3100-00004E000000}" name="Column78"/>
    <tableColumn id="79" xr3:uid="{00000000-0010-0000-3100-00004F000000}" name="Column79"/>
    <tableColumn id="80" xr3:uid="{00000000-0010-0000-3100-000050000000}" name="Column80"/>
    <tableColumn id="81" xr3:uid="{00000000-0010-0000-3100-000051000000}" name="Column81"/>
    <tableColumn id="82" xr3:uid="{00000000-0010-0000-3100-000052000000}" name="Column82"/>
    <tableColumn id="83" xr3:uid="{00000000-0010-0000-3100-000053000000}" name="Column83"/>
    <tableColumn id="84" xr3:uid="{00000000-0010-0000-3100-000054000000}" name="Column84"/>
    <tableColumn id="85" xr3:uid="{00000000-0010-0000-3100-000055000000}" name="Column85"/>
    <tableColumn id="86" xr3:uid="{00000000-0010-0000-3100-000056000000}" name="Column86"/>
    <tableColumn id="87" xr3:uid="{00000000-0010-0000-3100-000057000000}" name="Column87"/>
    <tableColumn id="88" xr3:uid="{00000000-0010-0000-3100-000058000000}" name="Column88"/>
    <tableColumn id="89" xr3:uid="{00000000-0010-0000-3100-000059000000}" name="Column89"/>
    <tableColumn id="90" xr3:uid="{00000000-0010-0000-3100-00005A000000}" name="Column90"/>
  </tableColumns>
  <tableStyleInfo name="DATA_MODEL-style 24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Table_49" displayName="Table_49" ref="I30:CT30" headerRowCount="0">
  <tableColumns count="90">
    <tableColumn id="1" xr3:uid="{00000000-0010-0000-3200-000001000000}" name="Column1"/>
    <tableColumn id="2" xr3:uid="{00000000-0010-0000-3200-000002000000}" name="Column2"/>
    <tableColumn id="3" xr3:uid="{00000000-0010-0000-3200-000003000000}" name="Column3"/>
    <tableColumn id="4" xr3:uid="{00000000-0010-0000-3200-000004000000}" name="Column4"/>
    <tableColumn id="5" xr3:uid="{00000000-0010-0000-3200-000005000000}" name="Column5"/>
    <tableColumn id="6" xr3:uid="{00000000-0010-0000-3200-000006000000}" name="Column6"/>
    <tableColumn id="7" xr3:uid="{00000000-0010-0000-3200-000007000000}" name="Column7"/>
    <tableColumn id="8" xr3:uid="{00000000-0010-0000-3200-000008000000}" name="Column8"/>
    <tableColumn id="9" xr3:uid="{00000000-0010-0000-3200-000009000000}" name="Column9"/>
    <tableColumn id="10" xr3:uid="{00000000-0010-0000-3200-00000A000000}" name="Column10"/>
    <tableColumn id="11" xr3:uid="{00000000-0010-0000-3200-00000B000000}" name="Column11"/>
    <tableColumn id="12" xr3:uid="{00000000-0010-0000-3200-00000C000000}" name="Column12"/>
    <tableColumn id="13" xr3:uid="{00000000-0010-0000-3200-00000D000000}" name="Column13"/>
    <tableColumn id="14" xr3:uid="{00000000-0010-0000-3200-00000E000000}" name="Column14"/>
    <tableColumn id="15" xr3:uid="{00000000-0010-0000-3200-00000F000000}" name="Column15"/>
    <tableColumn id="16" xr3:uid="{00000000-0010-0000-3200-000010000000}" name="Column16"/>
    <tableColumn id="17" xr3:uid="{00000000-0010-0000-3200-000011000000}" name="Column17"/>
    <tableColumn id="18" xr3:uid="{00000000-0010-0000-3200-000012000000}" name="Column18"/>
    <tableColumn id="19" xr3:uid="{00000000-0010-0000-3200-000013000000}" name="Column19"/>
    <tableColumn id="20" xr3:uid="{00000000-0010-0000-3200-000014000000}" name="Column20"/>
    <tableColumn id="21" xr3:uid="{00000000-0010-0000-3200-000015000000}" name="Column21"/>
    <tableColumn id="22" xr3:uid="{00000000-0010-0000-3200-000016000000}" name="Column22"/>
    <tableColumn id="23" xr3:uid="{00000000-0010-0000-3200-000017000000}" name="Column23"/>
    <tableColumn id="24" xr3:uid="{00000000-0010-0000-3200-000018000000}" name="Column24"/>
    <tableColumn id="25" xr3:uid="{00000000-0010-0000-3200-000019000000}" name="Column25"/>
    <tableColumn id="26" xr3:uid="{00000000-0010-0000-3200-00001A000000}" name="Column26"/>
    <tableColumn id="27" xr3:uid="{00000000-0010-0000-3200-00001B000000}" name="Column27"/>
    <tableColumn id="28" xr3:uid="{00000000-0010-0000-3200-00001C000000}" name="Column28"/>
    <tableColumn id="29" xr3:uid="{00000000-0010-0000-3200-00001D000000}" name="Column29"/>
    <tableColumn id="30" xr3:uid="{00000000-0010-0000-3200-00001E000000}" name="Column30"/>
    <tableColumn id="31" xr3:uid="{00000000-0010-0000-3200-00001F000000}" name="Column31"/>
    <tableColumn id="32" xr3:uid="{00000000-0010-0000-3200-000020000000}" name="Column32"/>
    <tableColumn id="33" xr3:uid="{00000000-0010-0000-3200-000021000000}" name="Column33"/>
    <tableColumn id="34" xr3:uid="{00000000-0010-0000-3200-000022000000}" name="Column34"/>
    <tableColumn id="35" xr3:uid="{00000000-0010-0000-3200-000023000000}" name="Column35"/>
    <tableColumn id="36" xr3:uid="{00000000-0010-0000-3200-000024000000}" name="Column36"/>
    <tableColumn id="37" xr3:uid="{00000000-0010-0000-3200-000025000000}" name="Column37"/>
    <tableColumn id="38" xr3:uid="{00000000-0010-0000-3200-000026000000}" name="Column38"/>
    <tableColumn id="39" xr3:uid="{00000000-0010-0000-3200-000027000000}" name="Column39"/>
    <tableColumn id="40" xr3:uid="{00000000-0010-0000-3200-000028000000}" name="Column40"/>
    <tableColumn id="41" xr3:uid="{00000000-0010-0000-3200-000029000000}" name="Column41"/>
    <tableColumn id="42" xr3:uid="{00000000-0010-0000-3200-00002A000000}" name="Column42"/>
    <tableColumn id="43" xr3:uid="{00000000-0010-0000-3200-00002B000000}" name="Column43"/>
    <tableColumn id="44" xr3:uid="{00000000-0010-0000-3200-00002C000000}" name="Column44"/>
    <tableColumn id="45" xr3:uid="{00000000-0010-0000-3200-00002D000000}" name="Column45"/>
    <tableColumn id="46" xr3:uid="{00000000-0010-0000-3200-00002E000000}" name="Column46"/>
    <tableColumn id="47" xr3:uid="{00000000-0010-0000-3200-00002F000000}" name="Column47"/>
    <tableColumn id="48" xr3:uid="{00000000-0010-0000-3200-000030000000}" name="Column48"/>
    <tableColumn id="49" xr3:uid="{00000000-0010-0000-3200-000031000000}" name="Column49"/>
    <tableColumn id="50" xr3:uid="{00000000-0010-0000-3200-000032000000}" name="Column50"/>
    <tableColumn id="51" xr3:uid="{00000000-0010-0000-3200-000033000000}" name="Column51"/>
    <tableColumn id="52" xr3:uid="{00000000-0010-0000-3200-000034000000}" name="Column52"/>
    <tableColumn id="53" xr3:uid="{00000000-0010-0000-3200-000035000000}" name="Column53"/>
    <tableColumn id="54" xr3:uid="{00000000-0010-0000-3200-000036000000}" name="Column54"/>
    <tableColumn id="55" xr3:uid="{00000000-0010-0000-3200-000037000000}" name="Column55"/>
    <tableColumn id="56" xr3:uid="{00000000-0010-0000-3200-000038000000}" name="Column56"/>
    <tableColumn id="57" xr3:uid="{00000000-0010-0000-3200-000039000000}" name="Column57"/>
    <tableColumn id="58" xr3:uid="{00000000-0010-0000-3200-00003A000000}" name="Column58"/>
    <tableColumn id="59" xr3:uid="{00000000-0010-0000-3200-00003B000000}" name="Column59"/>
    <tableColumn id="60" xr3:uid="{00000000-0010-0000-3200-00003C000000}" name="Column60"/>
    <tableColumn id="61" xr3:uid="{00000000-0010-0000-3200-00003D000000}" name="Column61"/>
    <tableColumn id="62" xr3:uid="{00000000-0010-0000-3200-00003E000000}" name="Column62"/>
    <tableColumn id="63" xr3:uid="{00000000-0010-0000-3200-00003F000000}" name="Column63"/>
    <tableColumn id="64" xr3:uid="{00000000-0010-0000-3200-000040000000}" name="Column64"/>
    <tableColumn id="65" xr3:uid="{00000000-0010-0000-3200-000041000000}" name="Column65"/>
    <tableColumn id="66" xr3:uid="{00000000-0010-0000-3200-000042000000}" name="Column66"/>
    <tableColumn id="67" xr3:uid="{00000000-0010-0000-3200-000043000000}" name="Column67"/>
    <tableColumn id="68" xr3:uid="{00000000-0010-0000-3200-000044000000}" name="Column68"/>
    <tableColumn id="69" xr3:uid="{00000000-0010-0000-3200-000045000000}" name="Column69"/>
    <tableColumn id="70" xr3:uid="{00000000-0010-0000-3200-000046000000}" name="Column70"/>
    <tableColumn id="71" xr3:uid="{00000000-0010-0000-3200-000047000000}" name="Column71"/>
    <tableColumn id="72" xr3:uid="{00000000-0010-0000-3200-000048000000}" name="Column72"/>
    <tableColumn id="73" xr3:uid="{00000000-0010-0000-3200-000049000000}" name="Column73"/>
    <tableColumn id="74" xr3:uid="{00000000-0010-0000-3200-00004A000000}" name="Column74"/>
    <tableColumn id="75" xr3:uid="{00000000-0010-0000-3200-00004B000000}" name="Column75"/>
    <tableColumn id="76" xr3:uid="{00000000-0010-0000-3200-00004C000000}" name="Column76"/>
    <tableColumn id="77" xr3:uid="{00000000-0010-0000-3200-00004D000000}" name="Column77"/>
    <tableColumn id="78" xr3:uid="{00000000-0010-0000-3200-00004E000000}" name="Column78"/>
    <tableColumn id="79" xr3:uid="{00000000-0010-0000-3200-00004F000000}" name="Column79"/>
    <tableColumn id="80" xr3:uid="{00000000-0010-0000-3200-000050000000}" name="Column80"/>
    <tableColumn id="81" xr3:uid="{00000000-0010-0000-3200-000051000000}" name="Column81"/>
    <tableColumn id="82" xr3:uid="{00000000-0010-0000-3200-000052000000}" name="Column82"/>
    <tableColumn id="83" xr3:uid="{00000000-0010-0000-3200-000053000000}" name="Column83"/>
    <tableColumn id="84" xr3:uid="{00000000-0010-0000-3200-000054000000}" name="Column84"/>
    <tableColumn id="85" xr3:uid="{00000000-0010-0000-3200-000055000000}" name="Column85"/>
    <tableColumn id="86" xr3:uid="{00000000-0010-0000-3200-000056000000}" name="Column86"/>
    <tableColumn id="87" xr3:uid="{00000000-0010-0000-3200-000057000000}" name="Column87"/>
    <tableColumn id="88" xr3:uid="{00000000-0010-0000-3200-000058000000}" name="Column88"/>
    <tableColumn id="89" xr3:uid="{00000000-0010-0000-3200-000059000000}" name="Column89"/>
    <tableColumn id="90" xr3:uid="{00000000-0010-0000-3200-00005A000000}" name="Column90"/>
  </tableColumns>
  <tableStyleInfo name="DATA_MODEL-style 25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Table_50" displayName="Table_50" ref="I31:CT31" headerRowCount="0">
  <tableColumns count="90">
    <tableColumn id="1" xr3:uid="{00000000-0010-0000-3300-000001000000}" name="Column1"/>
    <tableColumn id="2" xr3:uid="{00000000-0010-0000-3300-000002000000}" name="Column2"/>
    <tableColumn id="3" xr3:uid="{00000000-0010-0000-3300-000003000000}" name="Column3"/>
    <tableColumn id="4" xr3:uid="{00000000-0010-0000-3300-000004000000}" name="Column4"/>
    <tableColumn id="5" xr3:uid="{00000000-0010-0000-3300-000005000000}" name="Column5"/>
    <tableColumn id="6" xr3:uid="{00000000-0010-0000-3300-000006000000}" name="Column6"/>
    <tableColumn id="7" xr3:uid="{00000000-0010-0000-3300-000007000000}" name="Column7"/>
    <tableColumn id="8" xr3:uid="{00000000-0010-0000-3300-000008000000}" name="Column8"/>
    <tableColumn id="9" xr3:uid="{00000000-0010-0000-3300-000009000000}" name="Column9"/>
    <tableColumn id="10" xr3:uid="{00000000-0010-0000-3300-00000A000000}" name="Column10"/>
    <tableColumn id="11" xr3:uid="{00000000-0010-0000-3300-00000B000000}" name="Column11"/>
    <tableColumn id="12" xr3:uid="{00000000-0010-0000-3300-00000C000000}" name="Column12"/>
    <tableColumn id="13" xr3:uid="{00000000-0010-0000-3300-00000D000000}" name="Column13"/>
    <tableColumn id="14" xr3:uid="{00000000-0010-0000-3300-00000E000000}" name="Column14"/>
    <tableColumn id="15" xr3:uid="{00000000-0010-0000-3300-00000F000000}" name="Column15"/>
    <tableColumn id="16" xr3:uid="{00000000-0010-0000-3300-000010000000}" name="Column16"/>
    <tableColumn id="17" xr3:uid="{00000000-0010-0000-3300-000011000000}" name="Column17"/>
    <tableColumn id="18" xr3:uid="{00000000-0010-0000-3300-000012000000}" name="Column18"/>
    <tableColumn id="19" xr3:uid="{00000000-0010-0000-3300-000013000000}" name="Column19"/>
    <tableColumn id="20" xr3:uid="{00000000-0010-0000-3300-000014000000}" name="Column20"/>
    <tableColumn id="21" xr3:uid="{00000000-0010-0000-3300-000015000000}" name="Column21"/>
    <tableColumn id="22" xr3:uid="{00000000-0010-0000-3300-000016000000}" name="Column22"/>
    <tableColumn id="23" xr3:uid="{00000000-0010-0000-3300-000017000000}" name="Column23"/>
    <tableColumn id="24" xr3:uid="{00000000-0010-0000-3300-000018000000}" name="Column24"/>
    <tableColumn id="25" xr3:uid="{00000000-0010-0000-3300-000019000000}" name="Column25"/>
    <tableColumn id="26" xr3:uid="{00000000-0010-0000-3300-00001A000000}" name="Column26"/>
    <tableColumn id="27" xr3:uid="{00000000-0010-0000-3300-00001B000000}" name="Column27"/>
    <tableColumn id="28" xr3:uid="{00000000-0010-0000-3300-00001C000000}" name="Column28"/>
    <tableColumn id="29" xr3:uid="{00000000-0010-0000-3300-00001D000000}" name="Column29"/>
    <tableColumn id="30" xr3:uid="{00000000-0010-0000-3300-00001E000000}" name="Column30"/>
    <tableColumn id="31" xr3:uid="{00000000-0010-0000-3300-00001F000000}" name="Column31"/>
    <tableColumn id="32" xr3:uid="{00000000-0010-0000-3300-000020000000}" name="Column32"/>
    <tableColumn id="33" xr3:uid="{00000000-0010-0000-3300-000021000000}" name="Column33"/>
    <tableColumn id="34" xr3:uid="{00000000-0010-0000-3300-000022000000}" name="Column34"/>
    <tableColumn id="35" xr3:uid="{00000000-0010-0000-3300-000023000000}" name="Column35"/>
    <tableColumn id="36" xr3:uid="{00000000-0010-0000-3300-000024000000}" name="Column36"/>
    <tableColumn id="37" xr3:uid="{00000000-0010-0000-3300-000025000000}" name="Column37"/>
    <tableColumn id="38" xr3:uid="{00000000-0010-0000-3300-000026000000}" name="Column38"/>
    <tableColumn id="39" xr3:uid="{00000000-0010-0000-3300-000027000000}" name="Column39"/>
    <tableColumn id="40" xr3:uid="{00000000-0010-0000-3300-000028000000}" name="Column40"/>
    <tableColumn id="41" xr3:uid="{00000000-0010-0000-3300-000029000000}" name="Column41"/>
    <tableColumn id="42" xr3:uid="{00000000-0010-0000-3300-00002A000000}" name="Column42"/>
    <tableColumn id="43" xr3:uid="{00000000-0010-0000-3300-00002B000000}" name="Column43"/>
    <tableColumn id="44" xr3:uid="{00000000-0010-0000-3300-00002C000000}" name="Column44"/>
    <tableColumn id="45" xr3:uid="{00000000-0010-0000-3300-00002D000000}" name="Column45"/>
    <tableColumn id="46" xr3:uid="{00000000-0010-0000-3300-00002E000000}" name="Column46"/>
    <tableColumn id="47" xr3:uid="{00000000-0010-0000-3300-00002F000000}" name="Column47"/>
    <tableColumn id="48" xr3:uid="{00000000-0010-0000-3300-000030000000}" name="Column48"/>
    <tableColumn id="49" xr3:uid="{00000000-0010-0000-3300-000031000000}" name="Column49"/>
    <tableColumn id="50" xr3:uid="{00000000-0010-0000-3300-000032000000}" name="Column50"/>
    <tableColumn id="51" xr3:uid="{00000000-0010-0000-3300-000033000000}" name="Column51"/>
    <tableColumn id="52" xr3:uid="{00000000-0010-0000-3300-000034000000}" name="Column52"/>
    <tableColumn id="53" xr3:uid="{00000000-0010-0000-3300-000035000000}" name="Column53"/>
    <tableColumn id="54" xr3:uid="{00000000-0010-0000-3300-000036000000}" name="Column54"/>
    <tableColumn id="55" xr3:uid="{00000000-0010-0000-3300-000037000000}" name="Column55"/>
    <tableColumn id="56" xr3:uid="{00000000-0010-0000-3300-000038000000}" name="Column56"/>
    <tableColumn id="57" xr3:uid="{00000000-0010-0000-3300-000039000000}" name="Column57"/>
    <tableColumn id="58" xr3:uid="{00000000-0010-0000-3300-00003A000000}" name="Column58"/>
    <tableColumn id="59" xr3:uid="{00000000-0010-0000-3300-00003B000000}" name="Column59"/>
    <tableColumn id="60" xr3:uid="{00000000-0010-0000-3300-00003C000000}" name="Column60"/>
    <tableColumn id="61" xr3:uid="{00000000-0010-0000-3300-00003D000000}" name="Column61"/>
    <tableColumn id="62" xr3:uid="{00000000-0010-0000-3300-00003E000000}" name="Column62"/>
    <tableColumn id="63" xr3:uid="{00000000-0010-0000-3300-00003F000000}" name="Column63"/>
    <tableColumn id="64" xr3:uid="{00000000-0010-0000-3300-000040000000}" name="Column64"/>
    <tableColumn id="65" xr3:uid="{00000000-0010-0000-3300-000041000000}" name="Column65"/>
    <tableColumn id="66" xr3:uid="{00000000-0010-0000-3300-000042000000}" name="Column66"/>
    <tableColumn id="67" xr3:uid="{00000000-0010-0000-3300-000043000000}" name="Column67"/>
    <tableColumn id="68" xr3:uid="{00000000-0010-0000-3300-000044000000}" name="Column68"/>
    <tableColumn id="69" xr3:uid="{00000000-0010-0000-3300-000045000000}" name="Column69"/>
    <tableColumn id="70" xr3:uid="{00000000-0010-0000-3300-000046000000}" name="Column70"/>
    <tableColumn id="71" xr3:uid="{00000000-0010-0000-3300-000047000000}" name="Column71"/>
    <tableColumn id="72" xr3:uid="{00000000-0010-0000-3300-000048000000}" name="Column72"/>
    <tableColumn id="73" xr3:uid="{00000000-0010-0000-3300-000049000000}" name="Column73"/>
    <tableColumn id="74" xr3:uid="{00000000-0010-0000-3300-00004A000000}" name="Column74"/>
    <tableColumn id="75" xr3:uid="{00000000-0010-0000-3300-00004B000000}" name="Column75"/>
    <tableColumn id="76" xr3:uid="{00000000-0010-0000-3300-00004C000000}" name="Column76"/>
    <tableColumn id="77" xr3:uid="{00000000-0010-0000-3300-00004D000000}" name="Column77"/>
    <tableColumn id="78" xr3:uid="{00000000-0010-0000-3300-00004E000000}" name="Column78"/>
    <tableColumn id="79" xr3:uid="{00000000-0010-0000-3300-00004F000000}" name="Column79"/>
    <tableColumn id="80" xr3:uid="{00000000-0010-0000-3300-000050000000}" name="Column80"/>
    <tableColumn id="81" xr3:uid="{00000000-0010-0000-3300-000051000000}" name="Column81"/>
    <tableColumn id="82" xr3:uid="{00000000-0010-0000-3300-000052000000}" name="Column82"/>
    <tableColumn id="83" xr3:uid="{00000000-0010-0000-3300-000053000000}" name="Column83"/>
    <tableColumn id="84" xr3:uid="{00000000-0010-0000-3300-000054000000}" name="Column84"/>
    <tableColumn id="85" xr3:uid="{00000000-0010-0000-3300-000055000000}" name="Column85"/>
    <tableColumn id="86" xr3:uid="{00000000-0010-0000-3300-000056000000}" name="Column86"/>
    <tableColumn id="87" xr3:uid="{00000000-0010-0000-3300-000057000000}" name="Column87"/>
    <tableColumn id="88" xr3:uid="{00000000-0010-0000-3300-000058000000}" name="Column88"/>
    <tableColumn id="89" xr3:uid="{00000000-0010-0000-3300-000059000000}" name="Column89"/>
    <tableColumn id="90" xr3:uid="{00000000-0010-0000-3300-00005A000000}" name="Column90"/>
  </tableColumns>
  <tableStyleInfo name="DATA_MODEL-style 26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Table_51" displayName="Table_51" ref="I32:CT33" headerRowCount="0">
  <tableColumns count="90">
    <tableColumn id="1" xr3:uid="{00000000-0010-0000-3400-000001000000}" name="Column1"/>
    <tableColumn id="2" xr3:uid="{00000000-0010-0000-3400-000002000000}" name="Column2"/>
    <tableColumn id="3" xr3:uid="{00000000-0010-0000-3400-000003000000}" name="Column3"/>
    <tableColumn id="4" xr3:uid="{00000000-0010-0000-3400-000004000000}" name="Column4"/>
    <tableColumn id="5" xr3:uid="{00000000-0010-0000-3400-000005000000}" name="Column5"/>
    <tableColumn id="6" xr3:uid="{00000000-0010-0000-3400-000006000000}" name="Column6"/>
    <tableColumn id="7" xr3:uid="{00000000-0010-0000-3400-000007000000}" name="Column7"/>
    <tableColumn id="8" xr3:uid="{00000000-0010-0000-3400-000008000000}" name="Column8"/>
    <tableColumn id="9" xr3:uid="{00000000-0010-0000-3400-000009000000}" name="Column9"/>
    <tableColumn id="10" xr3:uid="{00000000-0010-0000-3400-00000A000000}" name="Column10"/>
    <tableColumn id="11" xr3:uid="{00000000-0010-0000-3400-00000B000000}" name="Column11"/>
    <tableColumn id="12" xr3:uid="{00000000-0010-0000-3400-00000C000000}" name="Column12"/>
    <tableColumn id="13" xr3:uid="{00000000-0010-0000-3400-00000D000000}" name="Column13"/>
    <tableColumn id="14" xr3:uid="{00000000-0010-0000-3400-00000E000000}" name="Column14"/>
    <tableColumn id="15" xr3:uid="{00000000-0010-0000-3400-00000F000000}" name="Column15"/>
    <tableColumn id="16" xr3:uid="{00000000-0010-0000-3400-000010000000}" name="Column16"/>
    <tableColumn id="17" xr3:uid="{00000000-0010-0000-3400-000011000000}" name="Column17"/>
    <tableColumn id="18" xr3:uid="{00000000-0010-0000-3400-000012000000}" name="Column18"/>
    <tableColumn id="19" xr3:uid="{00000000-0010-0000-3400-000013000000}" name="Column19"/>
    <tableColumn id="20" xr3:uid="{00000000-0010-0000-3400-000014000000}" name="Column20"/>
    <tableColumn id="21" xr3:uid="{00000000-0010-0000-3400-000015000000}" name="Column21"/>
    <tableColumn id="22" xr3:uid="{00000000-0010-0000-3400-000016000000}" name="Column22"/>
    <tableColumn id="23" xr3:uid="{00000000-0010-0000-3400-000017000000}" name="Column23"/>
    <tableColumn id="24" xr3:uid="{00000000-0010-0000-3400-000018000000}" name="Column24"/>
    <tableColumn id="25" xr3:uid="{00000000-0010-0000-3400-000019000000}" name="Column25"/>
    <tableColumn id="26" xr3:uid="{00000000-0010-0000-3400-00001A000000}" name="Column26"/>
    <tableColumn id="27" xr3:uid="{00000000-0010-0000-3400-00001B000000}" name="Column27"/>
    <tableColumn id="28" xr3:uid="{00000000-0010-0000-3400-00001C000000}" name="Column28"/>
    <tableColumn id="29" xr3:uid="{00000000-0010-0000-3400-00001D000000}" name="Column29"/>
    <tableColumn id="30" xr3:uid="{00000000-0010-0000-3400-00001E000000}" name="Column30"/>
    <tableColumn id="31" xr3:uid="{00000000-0010-0000-3400-00001F000000}" name="Column31"/>
    <tableColumn id="32" xr3:uid="{00000000-0010-0000-3400-000020000000}" name="Column32"/>
    <tableColumn id="33" xr3:uid="{00000000-0010-0000-3400-000021000000}" name="Column33"/>
    <tableColumn id="34" xr3:uid="{00000000-0010-0000-3400-000022000000}" name="Column34"/>
    <tableColumn id="35" xr3:uid="{00000000-0010-0000-3400-000023000000}" name="Column35"/>
    <tableColumn id="36" xr3:uid="{00000000-0010-0000-3400-000024000000}" name="Column36"/>
    <tableColumn id="37" xr3:uid="{00000000-0010-0000-3400-000025000000}" name="Column37"/>
    <tableColumn id="38" xr3:uid="{00000000-0010-0000-3400-000026000000}" name="Column38"/>
    <tableColumn id="39" xr3:uid="{00000000-0010-0000-3400-000027000000}" name="Column39"/>
    <tableColumn id="40" xr3:uid="{00000000-0010-0000-3400-000028000000}" name="Column40"/>
    <tableColumn id="41" xr3:uid="{00000000-0010-0000-3400-000029000000}" name="Column41"/>
    <tableColumn id="42" xr3:uid="{00000000-0010-0000-3400-00002A000000}" name="Column42"/>
    <tableColumn id="43" xr3:uid="{00000000-0010-0000-3400-00002B000000}" name="Column43"/>
    <tableColumn id="44" xr3:uid="{00000000-0010-0000-3400-00002C000000}" name="Column44"/>
    <tableColumn id="45" xr3:uid="{00000000-0010-0000-3400-00002D000000}" name="Column45"/>
    <tableColumn id="46" xr3:uid="{00000000-0010-0000-3400-00002E000000}" name="Column46"/>
    <tableColumn id="47" xr3:uid="{00000000-0010-0000-3400-00002F000000}" name="Column47"/>
    <tableColumn id="48" xr3:uid="{00000000-0010-0000-3400-000030000000}" name="Column48"/>
    <tableColumn id="49" xr3:uid="{00000000-0010-0000-3400-000031000000}" name="Column49"/>
    <tableColumn id="50" xr3:uid="{00000000-0010-0000-3400-000032000000}" name="Column50"/>
    <tableColumn id="51" xr3:uid="{00000000-0010-0000-3400-000033000000}" name="Column51"/>
    <tableColumn id="52" xr3:uid="{00000000-0010-0000-3400-000034000000}" name="Column52"/>
    <tableColumn id="53" xr3:uid="{00000000-0010-0000-3400-000035000000}" name="Column53"/>
    <tableColumn id="54" xr3:uid="{00000000-0010-0000-3400-000036000000}" name="Column54"/>
    <tableColumn id="55" xr3:uid="{00000000-0010-0000-3400-000037000000}" name="Column55"/>
    <tableColumn id="56" xr3:uid="{00000000-0010-0000-3400-000038000000}" name="Column56"/>
    <tableColumn id="57" xr3:uid="{00000000-0010-0000-3400-000039000000}" name="Column57"/>
    <tableColumn id="58" xr3:uid="{00000000-0010-0000-3400-00003A000000}" name="Column58"/>
    <tableColumn id="59" xr3:uid="{00000000-0010-0000-3400-00003B000000}" name="Column59"/>
    <tableColumn id="60" xr3:uid="{00000000-0010-0000-3400-00003C000000}" name="Column60"/>
    <tableColumn id="61" xr3:uid="{00000000-0010-0000-3400-00003D000000}" name="Column61"/>
    <tableColumn id="62" xr3:uid="{00000000-0010-0000-3400-00003E000000}" name="Column62"/>
    <tableColumn id="63" xr3:uid="{00000000-0010-0000-3400-00003F000000}" name="Column63"/>
    <tableColumn id="64" xr3:uid="{00000000-0010-0000-3400-000040000000}" name="Column64"/>
    <tableColumn id="65" xr3:uid="{00000000-0010-0000-3400-000041000000}" name="Column65"/>
    <tableColumn id="66" xr3:uid="{00000000-0010-0000-3400-000042000000}" name="Column66"/>
    <tableColumn id="67" xr3:uid="{00000000-0010-0000-3400-000043000000}" name="Column67"/>
    <tableColumn id="68" xr3:uid="{00000000-0010-0000-3400-000044000000}" name="Column68"/>
    <tableColumn id="69" xr3:uid="{00000000-0010-0000-3400-000045000000}" name="Column69"/>
    <tableColumn id="70" xr3:uid="{00000000-0010-0000-3400-000046000000}" name="Column70"/>
    <tableColumn id="71" xr3:uid="{00000000-0010-0000-3400-000047000000}" name="Column71"/>
    <tableColumn id="72" xr3:uid="{00000000-0010-0000-3400-000048000000}" name="Column72"/>
    <tableColumn id="73" xr3:uid="{00000000-0010-0000-3400-000049000000}" name="Column73"/>
    <tableColumn id="74" xr3:uid="{00000000-0010-0000-3400-00004A000000}" name="Column74"/>
    <tableColumn id="75" xr3:uid="{00000000-0010-0000-3400-00004B000000}" name="Column75"/>
    <tableColumn id="76" xr3:uid="{00000000-0010-0000-3400-00004C000000}" name="Column76"/>
    <tableColumn id="77" xr3:uid="{00000000-0010-0000-3400-00004D000000}" name="Column77"/>
    <tableColumn id="78" xr3:uid="{00000000-0010-0000-3400-00004E000000}" name="Column78"/>
    <tableColumn id="79" xr3:uid="{00000000-0010-0000-3400-00004F000000}" name="Column79"/>
    <tableColumn id="80" xr3:uid="{00000000-0010-0000-3400-000050000000}" name="Column80"/>
    <tableColumn id="81" xr3:uid="{00000000-0010-0000-3400-000051000000}" name="Column81"/>
    <tableColumn id="82" xr3:uid="{00000000-0010-0000-3400-000052000000}" name="Column82"/>
    <tableColumn id="83" xr3:uid="{00000000-0010-0000-3400-000053000000}" name="Column83"/>
    <tableColumn id="84" xr3:uid="{00000000-0010-0000-3400-000054000000}" name="Column84"/>
    <tableColumn id="85" xr3:uid="{00000000-0010-0000-3400-000055000000}" name="Column85"/>
    <tableColumn id="86" xr3:uid="{00000000-0010-0000-3400-000056000000}" name="Column86"/>
    <tableColumn id="87" xr3:uid="{00000000-0010-0000-3400-000057000000}" name="Column87"/>
    <tableColumn id="88" xr3:uid="{00000000-0010-0000-3400-000058000000}" name="Column88"/>
    <tableColumn id="89" xr3:uid="{00000000-0010-0000-3400-000059000000}" name="Column89"/>
    <tableColumn id="90" xr3:uid="{00000000-0010-0000-3400-00005A000000}" name="Column90"/>
  </tableColumns>
  <tableStyleInfo name="DATA_MODEL-style 27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Table_52" displayName="Table_52" ref="I34:CT34" headerRowCount="0">
  <tableColumns count="90">
    <tableColumn id="1" xr3:uid="{00000000-0010-0000-3500-000001000000}" name="Column1"/>
    <tableColumn id="2" xr3:uid="{00000000-0010-0000-3500-000002000000}" name="Column2"/>
    <tableColumn id="3" xr3:uid="{00000000-0010-0000-3500-000003000000}" name="Column3"/>
    <tableColumn id="4" xr3:uid="{00000000-0010-0000-3500-000004000000}" name="Column4"/>
    <tableColumn id="5" xr3:uid="{00000000-0010-0000-3500-000005000000}" name="Column5"/>
    <tableColumn id="6" xr3:uid="{00000000-0010-0000-3500-000006000000}" name="Column6"/>
    <tableColumn id="7" xr3:uid="{00000000-0010-0000-3500-000007000000}" name="Column7"/>
    <tableColumn id="8" xr3:uid="{00000000-0010-0000-3500-000008000000}" name="Column8"/>
    <tableColumn id="9" xr3:uid="{00000000-0010-0000-3500-000009000000}" name="Column9"/>
    <tableColumn id="10" xr3:uid="{00000000-0010-0000-3500-00000A000000}" name="Column10"/>
    <tableColumn id="11" xr3:uid="{00000000-0010-0000-3500-00000B000000}" name="Column11"/>
    <tableColumn id="12" xr3:uid="{00000000-0010-0000-3500-00000C000000}" name="Column12"/>
    <tableColumn id="13" xr3:uid="{00000000-0010-0000-3500-00000D000000}" name="Column13"/>
    <tableColumn id="14" xr3:uid="{00000000-0010-0000-3500-00000E000000}" name="Column14"/>
    <tableColumn id="15" xr3:uid="{00000000-0010-0000-3500-00000F000000}" name="Column15"/>
    <tableColumn id="16" xr3:uid="{00000000-0010-0000-3500-000010000000}" name="Column16"/>
    <tableColumn id="17" xr3:uid="{00000000-0010-0000-3500-000011000000}" name="Column17"/>
    <tableColumn id="18" xr3:uid="{00000000-0010-0000-3500-000012000000}" name="Column18"/>
    <tableColumn id="19" xr3:uid="{00000000-0010-0000-3500-000013000000}" name="Column19"/>
    <tableColumn id="20" xr3:uid="{00000000-0010-0000-3500-000014000000}" name="Column20"/>
    <tableColumn id="21" xr3:uid="{00000000-0010-0000-3500-000015000000}" name="Column21"/>
    <tableColumn id="22" xr3:uid="{00000000-0010-0000-3500-000016000000}" name="Column22"/>
    <tableColumn id="23" xr3:uid="{00000000-0010-0000-3500-000017000000}" name="Column23"/>
    <tableColumn id="24" xr3:uid="{00000000-0010-0000-3500-000018000000}" name="Column24"/>
    <tableColumn id="25" xr3:uid="{00000000-0010-0000-3500-000019000000}" name="Column25"/>
    <tableColumn id="26" xr3:uid="{00000000-0010-0000-3500-00001A000000}" name="Column26"/>
    <tableColumn id="27" xr3:uid="{00000000-0010-0000-3500-00001B000000}" name="Column27"/>
    <tableColumn id="28" xr3:uid="{00000000-0010-0000-3500-00001C000000}" name="Column28"/>
    <tableColumn id="29" xr3:uid="{00000000-0010-0000-3500-00001D000000}" name="Column29"/>
    <tableColumn id="30" xr3:uid="{00000000-0010-0000-3500-00001E000000}" name="Column30"/>
    <tableColumn id="31" xr3:uid="{00000000-0010-0000-3500-00001F000000}" name="Column31"/>
    <tableColumn id="32" xr3:uid="{00000000-0010-0000-3500-000020000000}" name="Column32"/>
    <tableColumn id="33" xr3:uid="{00000000-0010-0000-3500-000021000000}" name="Column33"/>
    <tableColumn id="34" xr3:uid="{00000000-0010-0000-3500-000022000000}" name="Column34"/>
    <tableColumn id="35" xr3:uid="{00000000-0010-0000-3500-000023000000}" name="Column35"/>
    <tableColumn id="36" xr3:uid="{00000000-0010-0000-3500-000024000000}" name="Column36"/>
    <tableColumn id="37" xr3:uid="{00000000-0010-0000-3500-000025000000}" name="Column37"/>
    <tableColumn id="38" xr3:uid="{00000000-0010-0000-3500-000026000000}" name="Column38"/>
    <tableColumn id="39" xr3:uid="{00000000-0010-0000-3500-000027000000}" name="Column39"/>
    <tableColumn id="40" xr3:uid="{00000000-0010-0000-3500-000028000000}" name="Column40"/>
    <tableColumn id="41" xr3:uid="{00000000-0010-0000-3500-000029000000}" name="Column41"/>
    <tableColumn id="42" xr3:uid="{00000000-0010-0000-3500-00002A000000}" name="Column42"/>
    <tableColumn id="43" xr3:uid="{00000000-0010-0000-3500-00002B000000}" name="Column43"/>
    <tableColumn id="44" xr3:uid="{00000000-0010-0000-3500-00002C000000}" name="Column44"/>
    <tableColumn id="45" xr3:uid="{00000000-0010-0000-3500-00002D000000}" name="Column45"/>
    <tableColumn id="46" xr3:uid="{00000000-0010-0000-3500-00002E000000}" name="Column46"/>
    <tableColumn id="47" xr3:uid="{00000000-0010-0000-3500-00002F000000}" name="Column47"/>
    <tableColumn id="48" xr3:uid="{00000000-0010-0000-3500-000030000000}" name="Column48"/>
    <tableColumn id="49" xr3:uid="{00000000-0010-0000-3500-000031000000}" name="Column49"/>
    <tableColumn id="50" xr3:uid="{00000000-0010-0000-3500-000032000000}" name="Column50"/>
    <tableColumn id="51" xr3:uid="{00000000-0010-0000-3500-000033000000}" name="Column51"/>
    <tableColumn id="52" xr3:uid="{00000000-0010-0000-3500-000034000000}" name="Column52"/>
    <tableColumn id="53" xr3:uid="{00000000-0010-0000-3500-000035000000}" name="Column53"/>
    <tableColumn id="54" xr3:uid="{00000000-0010-0000-3500-000036000000}" name="Column54"/>
    <tableColumn id="55" xr3:uid="{00000000-0010-0000-3500-000037000000}" name="Column55"/>
    <tableColumn id="56" xr3:uid="{00000000-0010-0000-3500-000038000000}" name="Column56"/>
    <tableColumn id="57" xr3:uid="{00000000-0010-0000-3500-000039000000}" name="Column57"/>
    <tableColumn id="58" xr3:uid="{00000000-0010-0000-3500-00003A000000}" name="Column58"/>
    <tableColumn id="59" xr3:uid="{00000000-0010-0000-3500-00003B000000}" name="Column59"/>
    <tableColumn id="60" xr3:uid="{00000000-0010-0000-3500-00003C000000}" name="Column60"/>
    <tableColumn id="61" xr3:uid="{00000000-0010-0000-3500-00003D000000}" name="Column61"/>
    <tableColumn id="62" xr3:uid="{00000000-0010-0000-3500-00003E000000}" name="Column62"/>
    <tableColumn id="63" xr3:uid="{00000000-0010-0000-3500-00003F000000}" name="Column63"/>
    <tableColumn id="64" xr3:uid="{00000000-0010-0000-3500-000040000000}" name="Column64"/>
    <tableColumn id="65" xr3:uid="{00000000-0010-0000-3500-000041000000}" name="Column65"/>
    <tableColumn id="66" xr3:uid="{00000000-0010-0000-3500-000042000000}" name="Column66"/>
    <tableColumn id="67" xr3:uid="{00000000-0010-0000-3500-000043000000}" name="Column67"/>
    <tableColumn id="68" xr3:uid="{00000000-0010-0000-3500-000044000000}" name="Column68"/>
    <tableColumn id="69" xr3:uid="{00000000-0010-0000-3500-000045000000}" name="Column69"/>
    <tableColumn id="70" xr3:uid="{00000000-0010-0000-3500-000046000000}" name="Column70"/>
    <tableColumn id="71" xr3:uid="{00000000-0010-0000-3500-000047000000}" name="Column71"/>
    <tableColumn id="72" xr3:uid="{00000000-0010-0000-3500-000048000000}" name="Column72"/>
    <tableColumn id="73" xr3:uid="{00000000-0010-0000-3500-000049000000}" name="Column73"/>
    <tableColumn id="74" xr3:uid="{00000000-0010-0000-3500-00004A000000}" name="Column74"/>
    <tableColumn id="75" xr3:uid="{00000000-0010-0000-3500-00004B000000}" name="Column75"/>
    <tableColumn id="76" xr3:uid="{00000000-0010-0000-3500-00004C000000}" name="Column76"/>
    <tableColumn id="77" xr3:uid="{00000000-0010-0000-3500-00004D000000}" name="Column77"/>
    <tableColumn id="78" xr3:uid="{00000000-0010-0000-3500-00004E000000}" name="Column78"/>
    <tableColumn id="79" xr3:uid="{00000000-0010-0000-3500-00004F000000}" name="Column79"/>
    <tableColumn id="80" xr3:uid="{00000000-0010-0000-3500-000050000000}" name="Column80"/>
    <tableColumn id="81" xr3:uid="{00000000-0010-0000-3500-000051000000}" name="Column81"/>
    <tableColumn id="82" xr3:uid="{00000000-0010-0000-3500-000052000000}" name="Column82"/>
    <tableColumn id="83" xr3:uid="{00000000-0010-0000-3500-000053000000}" name="Column83"/>
    <tableColumn id="84" xr3:uid="{00000000-0010-0000-3500-000054000000}" name="Column84"/>
    <tableColumn id="85" xr3:uid="{00000000-0010-0000-3500-000055000000}" name="Column85"/>
    <tableColumn id="86" xr3:uid="{00000000-0010-0000-3500-000056000000}" name="Column86"/>
    <tableColumn id="87" xr3:uid="{00000000-0010-0000-3500-000057000000}" name="Column87"/>
    <tableColumn id="88" xr3:uid="{00000000-0010-0000-3500-000058000000}" name="Column88"/>
    <tableColumn id="89" xr3:uid="{00000000-0010-0000-3500-000059000000}" name="Column89"/>
    <tableColumn id="90" xr3:uid="{00000000-0010-0000-3500-00005A000000}" name="Column90"/>
  </tableColumns>
  <tableStyleInfo name="DATA_MODEL-style 28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Table_53" displayName="Table_53" ref="I35:CT35" headerRowCount="0">
  <tableColumns count="90">
    <tableColumn id="1" xr3:uid="{00000000-0010-0000-3600-000001000000}" name="Column1"/>
    <tableColumn id="2" xr3:uid="{00000000-0010-0000-3600-000002000000}" name="Column2"/>
    <tableColumn id="3" xr3:uid="{00000000-0010-0000-3600-000003000000}" name="Column3"/>
    <tableColumn id="4" xr3:uid="{00000000-0010-0000-3600-000004000000}" name="Column4"/>
    <tableColumn id="5" xr3:uid="{00000000-0010-0000-3600-000005000000}" name="Column5"/>
    <tableColumn id="6" xr3:uid="{00000000-0010-0000-3600-000006000000}" name="Column6"/>
    <tableColumn id="7" xr3:uid="{00000000-0010-0000-3600-000007000000}" name="Column7"/>
    <tableColumn id="8" xr3:uid="{00000000-0010-0000-3600-000008000000}" name="Column8"/>
    <tableColumn id="9" xr3:uid="{00000000-0010-0000-3600-000009000000}" name="Column9"/>
    <tableColumn id="10" xr3:uid="{00000000-0010-0000-3600-00000A000000}" name="Column10"/>
    <tableColumn id="11" xr3:uid="{00000000-0010-0000-3600-00000B000000}" name="Column11"/>
    <tableColumn id="12" xr3:uid="{00000000-0010-0000-3600-00000C000000}" name="Column12"/>
    <tableColumn id="13" xr3:uid="{00000000-0010-0000-3600-00000D000000}" name="Column13"/>
    <tableColumn id="14" xr3:uid="{00000000-0010-0000-3600-00000E000000}" name="Column14"/>
    <tableColumn id="15" xr3:uid="{00000000-0010-0000-3600-00000F000000}" name="Column15"/>
    <tableColumn id="16" xr3:uid="{00000000-0010-0000-3600-000010000000}" name="Column16"/>
    <tableColumn id="17" xr3:uid="{00000000-0010-0000-3600-000011000000}" name="Column17"/>
    <tableColumn id="18" xr3:uid="{00000000-0010-0000-3600-000012000000}" name="Column18"/>
    <tableColumn id="19" xr3:uid="{00000000-0010-0000-3600-000013000000}" name="Column19"/>
    <tableColumn id="20" xr3:uid="{00000000-0010-0000-3600-000014000000}" name="Column20"/>
    <tableColumn id="21" xr3:uid="{00000000-0010-0000-3600-000015000000}" name="Column21"/>
    <tableColumn id="22" xr3:uid="{00000000-0010-0000-3600-000016000000}" name="Column22"/>
    <tableColumn id="23" xr3:uid="{00000000-0010-0000-3600-000017000000}" name="Column23"/>
    <tableColumn id="24" xr3:uid="{00000000-0010-0000-3600-000018000000}" name="Column24"/>
    <tableColumn id="25" xr3:uid="{00000000-0010-0000-3600-000019000000}" name="Column25"/>
    <tableColumn id="26" xr3:uid="{00000000-0010-0000-3600-00001A000000}" name="Column26"/>
    <tableColumn id="27" xr3:uid="{00000000-0010-0000-3600-00001B000000}" name="Column27"/>
    <tableColumn id="28" xr3:uid="{00000000-0010-0000-3600-00001C000000}" name="Column28"/>
    <tableColumn id="29" xr3:uid="{00000000-0010-0000-3600-00001D000000}" name="Column29"/>
    <tableColumn id="30" xr3:uid="{00000000-0010-0000-3600-00001E000000}" name="Column30"/>
    <tableColumn id="31" xr3:uid="{00000000-0010-0000-3600-00001F000000}" name="Column31"/>
    <tableColumn id="32" xr3:uid="{00000000-0010-0000-3600-000020000000}" name="Column32"/>
    <tableColumn id="33" xr3:uid="{00000000-0010-0000-3600-000021000000}" name="Column33"/>
    <tableColumn id="34" xr3:uid="{00000000-0010-0000-3600-000022000000}" name="Column34"/>
    <tableColumn id="35" xr3:uid="{00000000-0010-0000-3600-000023000000}" name="Column35"/>
    <tableColumn id="36" xr3:uid="{00000000-0010-0000-3600-000024000000}" name="Column36"/>
    <tableColumn id="37" xr3:uid="{00000000-0010-0000-3600-000025000000}" name="Column37"/>
    <tableColumn id="38" xr3:uid="{00000000-0010-0000-3600-000026000000}" name="Column38"/>
    <tableColumn id="39" xr3:uid="{00000000-0010-0000-3600-000027000000}" name="Column39"/>
    <tableColumn id="40" xr3:uid="{00000000-0010-0000-3600-000028000000}" name="Column40"/>
    <tableColumn id="41" xr3:uid="{00000000-0010-0000-3600-000029000000}" name="Column41"/>
    <tableColumn id="42" xr3:uid="{00000000-0010-0000-3600-00002A000000}" name="Column42"/>
    <tableColumn id="43" xr3:uid="{00000000-0010-0000-3600-00002B000000}" name="Column43"/>
    <tableColumn id="44" xr3:uid="{00000000-0010-0000-3600-00002C000000}" name="Column44"/>
    <tableColumn id="45" xr3:uid="{00000000-0010-0000-3600-00002D000000}" name="Column45"/>
    <tableColumn id="46" xr3:uid="{00000000-0010-0000-3600-00002E000000}" name="Column46"/>
    <tableColumn id="47" xr3:uid="{00000000-0010-0000-3600-00002F000000}" name="Column47"/>
    <tableColumn id="48" xr3:uid="{00000000-0010-0000-3600-000030000000}" name="Column48"/>
    <tableColumn id="49" xr3:uid="{00000000-0010-0000-3600-000031000000}" name="Column49"/>
    <tableColumn id="50" xr3:uid="{00000000-0010-0000-3600-000032000000}" name="Column50"/>
    <tableColumn id="51" xr3:uid="{00000000-0010-0000-3600-000033000000}" name="Column51"/>
    <tableColumn id="52" xr3:uid="{00000000-0010-0000-3600-000034000000}" name="Column52"/>
    <tableColumn id="53" xr3:uid="{00000000-0010-0000-3600-000035000000}" name="Column53"/>
    <tableColumn id="54" xr3:uid="{00000000-0010-0000-3600-000036000000}" name="Column54"/>
    <tableColumn id="55" xr3:uid="{00000000-0010-0000-3600-000037000000}" name="Column55"/>
    <tableColumn id="56" xr3:uid="{00000000-0010-0000-3600-000038000000}" name="Column56"/>
    <tableColumn id="57" xr3:uid="{00000000-0010-0000-3600-000039000000}" name="Column57"/>
    <tableColumn id="58" xr3:uid="{00000000-0010-0000-3600-00003A000000}" name="Column58"/>
    <tableColumn id="59" xr3:uid="{00000000-0010-0000-3600-00003B000000}" name="Column59"/>
    <tableColumn id="60" xr3:uid="{00000000-0010-0000-3600-00003C000000}" name="Column60"/>
    <tableColumn id="61" xr3:uid="{00000000-0010-0000-3600-00003D000000}" name="Column61"/>
    <tableColumn id="62" xr3:uid="{00000000-0010-0000-3600-00003E000000}" name="Column62"/>
    <tableColumn id="63" xr3:uid="{00000000-0010-0000-3600-00003F000000}" name="Column63"/>
    <tableColumn id="64" xr3:uid="{00000000-0010-0000-3600-000040000000}" name="Column64"/>
    <tableColumn id="65" xr3:uid="{00000000-0010-0000-3600-000041000000}" name="Column65"/>
    <tableColumn id="66" xr3:uid="{00000000-0010-0000-3600-000042000000}" name="Column66"/>
    <tableColumn id="67" xr3:uid="{00000000-0010-0000-3600-000043000000}" name="Column67"/>
    <tableColumn id="68" xr3:uid="{00000000-0010-0000-3600-000044000000}" name="Column68"/>
    <tableColumn id="69" xr3:uid="{00000000-0010-0000-3600-000045000000}" name="Column69"/>
    <tableColumn id="70" xr3:uid="{00000000-0010-0000-3600-000046000000}" name="Column70"/>
    <tableColumn id="71" xr3:uid="{00000000-0010-0000-3600-000047000000}" name="Column71"/>
    <tableColumn id="72" xr3:uid="{00000000-0010-0000-3600-000048000000}" name="Column72"/>
    <tableColumn id="73" xr3:uid="{00000000-0010-0000-3600-000049000000}" name="Column73"/>
    <tableColumn id="74" xr3:uid="{00000000-0010-0000-3600-00004A000000}" name="Column74"/>
    <tableColumn id="75" xr3:uid="{00000000-0010-0000-3600-00004B000000}" name="Column75"/>
    <tableColumn id="76" xr3:uid="{00000000-0010-0000-3600-00004C000000}" name="Column76"/>
    <tableColumn id="77" xr3:uid="{00000000-0010-0000-3600-00004D000000}" name="Column77"/>
    <tableColumn id="78" xr3:uid="{00000000-0010-0000-3600-00004E000000}" name="Column78"/>
    <tableColumn id="79" xr3:uid="{00000000-0010-0000-3600-00004F000000}" name="Column79"/>
    <tableColumn id="80" xr3:uid="{00000000-0010-0000-3600-000050000000}" name="Column80"/>
    <tableColumn id="81" xr3:uid="{00000000-0010-0000-3600-000051000000}" name="Column81"/>
    <tableColumn id="82" xr3:uid="{00000000-0010-0000-3600-000052000000}" name="Column82"/>
    <tableColumn id="83" xr3:uid="{00000000-0010-0000-3600-000053000000}" name="Column83"/>
    <tableColumn id="84" xr3:uid="{00000000-0010-0000-3600-000054000000}" name="Column84"/>
    <tableColumn id="85" xr3:uid="{00000000-0010-0000-3600-000055000000}" name="Column85"/>
    <tableColumn id="86" xr3:uid="{00000000-0010-0000-3600-000056000000}" name="Column86"/>
    <tableColumn id="87" xr3:uid="{00000000-0010-0000-3600-000057000000}" name="Column87"/>
    <tableColumn id="88" xr3:uid="{00000000-0010-0000-3600-000058000000}" name="Column88"/>
    <tableColumn id="89" xr3:uid="{00000000-0010-0000-3600-000059000000}" name="Column89"/>
    <tableColumn id="90" xr3:uid="{00000000-0010-0000-3600-00005A000000}" name="Column90"/>
  </tableColumns>
  <tableStyleInfo name="DATA_MODEL-style 29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Table_54" displayName="Table_54" ref="I36:CT36" headerRowCount="0">
  <tableColumns count="90">
    <tableColumn id="1" xr3:uid="{00000000-0010-0000-3700-000001000000}" name="Column1"/>
    <tableColumn id="2" xr3:uid="{00000000-0010-0000-3700-000002000000}" name="Column2"/>
    <tableColumn id="3" xr3:uid="{00000000-0010-0000-3700-000003000000}" name="Column3"/>
    <tableColumn id="4" xr3:uid="{00000000-0010-0000-3700-000004000000}" name="Column4"/>
    <tableColumn id="5" xr3:uid="{00000000-0010-0000-3700-000005000000}" name="Column5"/>
    <tableColumn id="6" xr3:uid="{00000000-0010-0000-3700-000006000000}" name="Column6"/>
    <tableColumn id="7" xr3:uid="{00000000-0010-0000-3700-000007000000}" name="Column7"/>
    <tableColumn id="8" xr3:uid="{00000000-0010-0000-3700-000008000000}" name="Column8"/>
    <tableColumn id="9" xr3:uid="{00000000-0010-0000-3700-000009000000}" name="Column9"/>
    <tableColumn id="10" xr3:uid="{00000000-0010-0000-3700-00000A000000}" name="Column10"/>
    <tableColumn id="11" xr3:uid="{00000000-0010-0000-3700-00000B000000}" name="Column11"/>
    <tableColumn id="12" xr3:uid="{00000000-0010-0000-3700-00000C000000}" name="Column12"/>
    <tableColumn id="13" xr3:uid="{00000000-0010-0000-3700-00000D000000}" name="Column13"/>
    <tableColumn id="14" xr3:uid="{00000000-0010-0000-3700-00000E000000}" name="Column14"/>
    <tableColumn id="15" xr3:uid="{00000000-0010-0000-3700-00000F000000}" name="Column15"/>
    <tableColumn id="16" xr3:uid="{00000000-0010-0000-3700-000010000000}" name="Column16"/>
    <tableColumn id="17" xr3:uid="{00000000-0010-0000-3700-000011000000}" name="Column17"/>
    <tableColumn id="18" xr3:uid="{00000000-0010-0000-3700-000012000000}" name="Column18"/>
    <tableColumn id="19" xr3:uid="{00000000-0010-0000-3700-000013000000}" name="Column19"/>
    <tableColumn id="20" xr3:uid="{00000000-0010-0000-3700-000014000000}" name="Column20"/>
    <tableColumn id="21" xr3:uid="{00000000-0010-0000-3700-000015000000}" name="Column21"/>
    <tableColumn id="22" xr3:uid="{00000000-0010-0000-3700-000016000000}" name="Column22"/>
    <tableColumn id="23" xr3:uid="{00000000-0010-0000-3700-000017000000}" name="Column23"/>
    <tableColumn id="24" xr3:uid="{00000000-0010-0000-3700-000018000000}" name="Column24"/>
    <tableColumn id="25" xr3:uid="{00000000-0010-0000-3700-000019000000}" name="Column25"/>
    <tableColumn id="26" xr3:uid="{00000000-0010-0000-3700-00001A000000}" name="Column26"/>
    <tableColumn id="27" xr3:uid="{00000000-0010-0000-3700-00001B000000}" name="Column27"/>
    <tableColumn id="28" xr3:uid="{00000000-0010-0000-3700-00001C000000}" name="Column28"/>
    <tableColumn id="29" xr3:uid="{00000000-0010-0000-3700-00001D000000}" name="Column29"/>
    <tableColumn id="30" xr3:uid="{00000000-0010-0000-3700-00001E000000}" name="Column30"/>
    <tableColumn id="31" xr3:uid="{00000000-0010-0000-3700-00001F000000}" name="Column31"/>
    <tableColumn id="32" xr3:uid="{00000000-0010-0000-3700-000020000000}" name="Column32"/>
    <tableColumn id="33" xr3:uid="{00000000-0010-0000-3700-000021000000}" name="Column33"/>
    <tableColumn id="34" xr3:uid="{00000000-0010-0000-3700-000022000000}" name="Column34"/>
    <tableColumn id="35" xr3:uid="{00000000-0010-0000-3700-000023000000}" name="Column35"/>
    <tableColumn id="36" xr3:uid="{00000000-0010-0000-3700-000024000000}" name="Column36"/>
    <tableColumn id="37" xr3:uid="{00000000-0010-0000-3700-000025000000}" name="Column37"/>
    <tableColumn id="38" xr3:uid="{00000000-0010-0000-3700-000026000000}" name="Column38"/>
    <tableColumn id="39" xr3:uid="{00000000-0010-0000-3700-000027000000}" name="Column39"/>
    <tableColumn id="40" xr3:uid="{00000000-0010-0000-3700-000028000000}" name="Column40"/>
    <tableColumn id="41" xr3:uid="{00000000-0010-0000-3700-000029000000}" name="Column41"/>
    <tableColumn id="42" xr3:uid="{00000000-0010-0000-3700-00002A000000}" name="Column42"/>
    <tableColumn id="43" xr3:uid="{00000000-0010-0000-3700-00002B000000}" name="Column43"/>
    <tableColumn id="44" xr3:uid="{00000000-0010-0000-3700-00002C000000}" name="Column44"/>
    <tableColumn id="45" xr3:uid="{00000000-0010-0000-3700-00002D000000}" name="Column45"/>
    <tableColumn id="46" xr3:uid="{00000000-0010-0000-3700-00002E000000}" name="Column46"/>
    <tableColumn id="47" xr3:uid="{00000000-0010-0000-3700-00002F000000}" name="Column47"/>
    <tableColumn id="48" xr3:uid="{00000000-0010-0000-3700-000030000000}" name="Column48"/>
    <tableColumn id="49" xr3:uid="{00000000-0010-0000-3700-000031000000}" name="Column49"/>
    <tableColumn id="50" xr3:uid="{00000000-0010-0000-3700-000032000000}" name="Column50"/>
    <tableColumn id="51" xr3:uid="{00000000-0010-0000-3700-000033000000}" name="Column51"/>
    <tableColumn id="52" xr3:uid="{00000000-0010-0000-3700-000034000000}" name="Column52"/>
    <tableColumn id="53" xr3:uid="{00000000-0010-0000-3700-000035000000}" name="Column53"/>
    <tableColumn id="54" xr3:uid="{00000000-0010-0000-3700-000036000000}" name="Column54"/>
    <tableColumn id="55" xr3:uid="{00000000-0010-0000-3700-000037000000}" name="Column55"/>
    <tableColumn id="56" xr3:uid="{00000000-0010-0000-3700-000038000000}" name="Column56"/>
    <tableColumn id="57" xr3:uid="{00000000-0010-0000-3700-000039000000}" name="Column57"/>
    <tableColumn id="58" xr3:uid="{00000000-0010-0000-3700-00003A000000}" name="Column58"/>
    <tableColumn id="59" xr3:uid="{00000000-0010-0000-3700-00003B000000}" name="Column59"/>
    <tableColumn id="60" xr3:uid="{00000000-0010-0000-3700-00003C000000}" name="Column60"/>
    <tableColumn id="61" xr3:uid="{00000000-0010-0000-3700-00003D000000}" name="Column61"/>
    <tableColumn id="62" xr3:uid="{00000000-0010-0000-3700-00003E000000}" name="Column62"/>
    <tableColumn id="63" xr3:uid="{00000000-0010-0000-3700-00003F000000}" name="Column63"/>
    <tableColumn id="64" xr3:uid="{00000000-0010-0000-3700-000040000000}" name="Column64"/>
    <tableColumn id="65" xr3:uid="{00000000-0010-0000-3700-000041000000}" name="Column65"/>
    <tableColumn id="66" xr3:uid="{00000000-0010-0000-3700-000042000000}" name="Column66"/>
    <tableColumn id="67" xr3:uid="{00000000-0010-0000-3700-000043000000}" name="Column67"/>
    <tableColumn id="68" xr3:uid="{00000000-0010-0000-3700-000044000000}" name="Column68"/>
    <tableColumn id="69" xr3:uid="{00000000-0010-0000-3700-000045000000}" name="Column69"/>
    <tableColumn id="70" xr3:uid="{00000000-0010-0000-3700-000046000000}" name="Column70"/>
    <tableColumn id="71" xr3:uid="{00000000-0010-0000-3700-000047000000}" name="Column71"/>
    <tableColumn id="72" xr3:uid="{00000000-0010-0000-3700-000048000000}" name="Column72"/>
    <tableColumn id="73" xr3:uid="{00000000-0010-0000-3700-000049000000}" name="Column73"/>
    <tableColumn id="74" xr3:uid="{00000000-0010-0000-3700-00004A000000}" name="Column74"/>
    <tableColumn id="75" xr3:uid="{00000000-0010-0000-3700-00004B000000}" name="Column75"/>
    <tableColumn id="76" xr3:uid="{00000000-0010-0000-3700-00004C000000}" name="Column76"/>
    <tableColumn id="77" xr3:uid="{00000000-0010-0000-3700-00004D000000}" name="Column77"/>
    <tableColumn id="78" xr3:uid="{00000000-0010-0000-3700-00004E000000}" name="Column78"/>
    <tableColumn id="79" xr3:uid="{00000000-0010-0000-3700-00004F000000}" name="Column79"/>
    <tableColumn id="80" xr3:uid="{00000000-0010-0000-3700-000050000000}" name="Column80"/>
    <tableColumn id="81" xr3:uid="{00000000-0010-0000-3700-000051000000}" name="Column81"/>
    <tableColumn id="82" xr3:uid="{00000000-0010-0000-3700-000052000000}" name="Column82"/>
    <tableColumn id="83" xr3:uid="{00000000-0010-0000-3700-000053000000}" name="Column83"/>
    <tableColumn id="84" xr3:uid="{00000000-0010-0000-3700-000054000000}" name="Column84"/>
    <tableColumn id="85" xr3:uid="{00000000-0010-0000-3700-000055000000}" name="Column85"/>
    <tableColumn id="86" xr3:uid="{00000000-0010-0000-3700-000056000000}" name="Column86"/>
    <tableColumn id="87" xr3:uid="{00000000-0010-0000-3700-000057000000}" name="Column87"/>
    <tableColumn id="88" xr3:uid="{00000000-0010-0000-3700-000058000000}" name="Column88"/>
    <tableColumn id="89" xr3:uid="{00000000-0010-0000-3700-000059000000}" name="Column89"/>
    <tableColumn id="90" xr3:uid="{00000000-0010-0000-3700-00005A000000}" name="Column90"/>
  </tableColumns>
  <tableStyleInfo name="DATA_MODEL-style 30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Table_55" displayName="Table_55" ref="I37:CT37" headerRowCount="0">
  <tableColumns count="90">
    <tableColumn id="1" xr3:uid="{00000000-0010-0000-3800-000001000000}" name="Column1"/>
    <tableColumn id="2" xr3:uid="{00000000-0010-0000-3800-000002000000}" name="Column2"/>
    <tableColumn id="3" xr3:uid="{00000000-0010-0000-3800-000003000000}" name="Column3"/>
    <tableColumn id="4" xr3:uid="{00000000-0010-0000-3800-000004000000}" name="Column4"/>
    <tableColumn id="5" xr3:uid="{00000000-0010-0000-3800-000005000000}" name="Column5"/>
    <tableColumn id="6" xr3:uid="{00000000-0010-0000-3800-000006000000}" name="Column6"/>
    <tableColumn id="7" xr3:uid="{00000000-0010-0000-3800-000007000000}" name="Column7"/>
    <tableColumn id="8" xr3:uid="{00000000-0010-0000-3800-000008000000}" name="Column8"/>
    <tableColumn id="9" xr3:uid="{00000000-0010-0000-3800-000009000000}" name="Column9"/>
    <tableColumn id="10" xr3:uid="{00000000-0010-0000-3800-00000A000000}" name="Column10"/>
    <tableColumn id="11" xr3:uid="{00000000-0010-0000-3800-00000B000000}" name="Column11"/>
    <tableColumn id="12" xr3:uid="{00000000-0010-0000-3800-00000C000000}" name="Column12"/>
    <tableColumn id="13" xr3:uid="{00000000-0010-0000-3800-00000D000000}" name="Column13"/>
    <tableColumn id="14" xr3:uid="{00000000-0010-0000-3800-00000E000000}" name="Column14"/>
    <tableColumn id="15" xr3:uid="{00000000-0010-0000-3800-00000F000000}" name="Column15"/>
    <tableColumn id="16" xr3:uid="{00000000-0010-0000-3800-000010000000}" name="Column16"/>
    <tableColumn id="17" xr3:uid="{00000000-0010-0000-3800-000011000000}" name="Column17"/>
    <tableColumn id="18" xr3:uid="{00000000-0010-0000-3800-000012000000}" name="Column18"/>
    <tableColumn id="19" xr3:uid="{00000000-0010-0000-3800-000013000000}" name="Column19"/>
    <tableColumn id="20" xr3:uid="{00000000-0010-0000-3800-000014000000}" name="Column20"/>
    <tableColumn id="21" xr3:uid="{00000000-0010-0000-3800-000015000000}" name="Column21"/>
    <tableColumn id="22" xr3:uid="{00000000-0010-0000-3800-000016000000}" name="Column22"/>
    <tableColumn id="23" xr3:uid="{00000000-0010-0000-3800-000017000000}" name="Column23"/>
    <tableColumn id="24" xr3:uid="{00000000-0010-0000-3800-000018000000}" name="Column24"/>
    <tableColumn id="25" xr3:uid="{00000000-0010-0000-3800-000019000000}" name="Column25"/>
    <tableColumn id="26" xr3:uid="{00000000-0010-0000-3800-00001A000000}" name="Column26"/>
    <tableColumn id="27" xr3:uid="{00000000-0010-0000-3800-00001B000000}" name="Column27"/>
    <tableColumn id="28" xr3:uid="{00000000-0010-0000-3800-00001C000000}" name="Column28"/>
    <tableColumn id="29" xr3:uid="{00000000-0010-0000-3800-00001D000000}" name="Column29"/>
    <tableColumn id="30" xr3:uid="{00000000-0010-0000-3800-00001E000000}" name="Column30"/>
    <tableColumn id="31" xr3:uid="{00000000-0010-0000-3800-00001F000000}" name="Column31"/>
    <tableColumn id="32" xr3:uid="{00000000-0010-0000-3800-000020000000}" name="Column32"/>
    <tableColumn id="33" xr3:uid="{00000000-0010-0000-3800-000021000000}" name="Column33"/>
    <tableColumn id="34" xr3:uid="{00000000-0010-0000-3800-000022000000}" name="Column34"/>
    <tableColumn id="35" xr3:uid="{00000000-0010-0000-3800-000023000000}" name="Column35"/>
    <tableColumn id="36" xr3:uid="{00000000-0010-0000-3800-000024000000}" name="Column36"/>
    <tableColumn id="37" xr3:uid="{00000000-0010-0000-3800-000025000000}" name="Column37"/>
    <tableColumn id="38" xr3:uid="{00000000-0010-0000-3800-000026000000}" name="Column38"/>
    <tableColumn id="39" xr3:uid="{00000000-0010-0000-3800-000027000000}" name="Column39"/>
    <tableColumn id="40" xr3:uid="{00000000-0010-0000-3800-000028000000}" name="Column40"/>
    <tableColumn id="41" xr3:uid="{00000000-0010-0000-3800-000029000000}" name="Column41"/>
    <tableColumn id="42" xr3:uid="{00000000-0010-0000-3800-00002A000000}" name="Column42"/>
    <tableColumn id="43" xr3:uid="{00000000-0010-0000-3800-00002B000000}" name="Column43"/>
    <tableColumn id="44" xr3:uid="{00000000-0010-0000-3800-00002C000000}" name="Column44"/>
    <tableColumn id="45" xr3:uid="{00000000-0010-0000-3800-00002D000000}" name="Column45"/>
    <tableColumn id="46" xr3:uid="{00000000-0010-0000-3800-00002E000000}" name="Column46"/>
    <tableColumn id="47" xr3:uid="{00000000-0010-0000-3800-00002F000000}" name="Column47"/>
    <tableColumn id="48" xr3:uid="{00000000-0010-0000-3800-000030000000}" name="Column48"/>
    <tableColumn id="49" xr3:uid="{00000000-0010-0000-3800-000031000000}" name="Column49"/>
    <tableColumn id="50" xr3:uid="{00000000-0010-0000-3800-000032000000}" name="Column50"/>
    <tableColumn id="51" xr3:uid="{00000000-0010-0000-3800-000033000000}" name="Column51"/>
    <tableColumn id="52" xr3:uid="{00000000-0010-0000-3800-000034000000}" name="Column52"/>
    <tableColumn id="53" xr3:uid="{00000000-0010-0000-3800-000035000000}" name="Column53"/>
    <tableColumn id="54" xr3:uid="{00000000-0010-0000-3800-000036000000}" name="Column54"/>
    <tableColumn id="55" xr3:uid="{00000000-0010-0000-3800-000037000000}" name="Column55"/>
    <tableColumn id="56" xr3:uid="{00000000-0010-0000-3800-000038000000}" name="Column56"/>
    <tableColumn id="57" xr3:uid="{00000000-0010-0000-3800-000039000000}" name="Column57"/>
    <tableColumn id="58" xr3:uid="{00000000-0010-0000-3800-00003A000000}" name="Column58"/>
    <tableColumn id="59" xr3:uid="{00000000-0010-0000-3800-00003B000000}" name="Column59"/>
    <tableColumn id="60" xr3:uid="{00000000-0010-0000-3800-00003C000000}" name="Column60"/>
    <tableColumn id="61" xr3:uid="{00000000-0010-0000-3800-00003D000000}" name="Column61"/>
    <tableColumn id="62" xr3:uid="{00000000-0010-0000-3800-00003E000000}" name="Column62"/>
    <tableColumn id="63" xr3:uid="{00000000-0010-0000-3800-00003F000000}" name="Column63"/>
    <tableColumn id="64" xr3:uid="{00000000-0010-0000-3800-000040000000}" name="Column64"/>
    <tableColumn id="65" xr3:uid="{00000000-0010-0000-3800-000041000000}" name="Column65"/>
    <tableColumn id="66" xr3:uid="{00000000-0010-0000-3800-000042000000}" name="Column66"/>
    <tableColumn id="67" xr3:uid="{00000000-0010-0000-3800-000043000000}" name="Column67"/>
    <tableColumn id="68" xr3:uid="{00000000-0010-0000-3800-000044000000}" name="Column68"/>
    <tableColumn id="69" xr3:uid="{00000000-0010-0000-3800-000045000000}" name="Column69"/>
    <tableColumn id="70" xr3:uid="{00000000-0010-0000-3800-000046000000}" name="Column70"/>
    <tableColumn id="71" xr3:uid="{00000000-0010-0000-3800-000047000000}" name="Column71"/>
    <tableColumn id="72" xr3:uid="{00000000-0010-0000-3800-000048000000}" name="Column72"/>
    <tableColumn id="73" xr3:uid="{00000000-0010-0000-3800-000049000000}" name="Column73"/>
    <tableColumn id="74" xr3:uid="{00000000-0010-0000-3800-00004A000000}" name="Column74"/>
    <tableColumn id="75" xr3:uid="{00000000-0010-0000-3800-00004B000000}" name="Column75"/>
    <tableColumn id="76" xr3:uid="{00000000-0010-0000-3800-00004C000000}" name="Column76"/>
    <tableColumn id="77" xr3:uid="{00000000-0010-0000-3800-00004D000000}" name="Column77"/>
    <tableColumn id="78" xr3:uid="{00000000-0010-0000-3800-00004E000000}" name="Column78"/>
    <tableColumn id="79" xr3:uid="{00000000-0010-0000-3800-00004F000000}" name="Column79"/>
    <tableColumn id="80" xr3:uid="{00000000-0010-0000-3800-000050000000}" name="Column80"/>
    <tableColumn id="81" xr3:uid="{00000000-0010-0000-3800-000051000000}" name="Column81"/>
    <tableColumn id="82" xr3:uid="{00000000-0010-0000-3800-000052000000}" name="Column82"/>
    <tableColumn id="83" xr3:uid="{00000000-0010-0000-3800-000053000000}" name="Column83"/>
    <tableColumn id="84" xr3:uid="{00000000-0010-0000-3800-000054000000}" name="Column84"/>
    <tableColumn id="85" xr3:uid="{00000000-0010-0000-3800-000055000000}" name="Column85"/>
    <tableColumn id="86" xr3:uid="{00000000-0010-0000-3800-000056000000}" name="Column86"/>
    <tableColumn id="87" xr3:uid="{00000000-0010-0000-3800-000057000000}" name="Column87"/>
    <tableColumn id="88" xr3:uid="{00000000-0010-0000-3800-000058000000}" name="Column88"/>
    <tableColumn id="89" xr3:uid="{00000000-0010-0000-3800-000059000000}" name="Column89"/>
    <tableColumn id="90" xr3:uid="{00000000-0010-0000-3800-00005A000000}" name="Column90"/>
  </tableColumns>
  <tableStyleInfo name="DATA_MODEL-style 31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Table_56" displayName="Table_56" ref="I38:CT38" headerRowCount="0">
  <tableColumns count="90">
    <tableColumn id="1" xr3:uid="{00000000-0010-0000-3900-000001000000}" name="Column1"/>
    <tableColumn id="2" xr3:uid="{00000000-0010-0000-3900-000002000000}" name="Column2"/>
    <tableColumn id="3" xr3:uid="{00000000-0010-0000-3900-000003000000}" name="Column3"/>
    <tableColumn id="4" xr3:uid="{00000000-0010-0000-3900-000004000000}" name="Column4"/>
    <tableColumn id="5" xr3:uid="{00000000-0010-0000-3900-000005000000}" name="Column5"/>
    <tableColumn id="6" xr3:uid="{00000000-0010-0000-3900-000006000000}" name="Column6"/>
    <tableColumn id="7" xr3:uid="{00000000-0010-0000-3900-000007000000}" name="Column7"/>
    <tableColumn id="8" xr3:uid="{00000000-0010-0000-3900-000008000000}" name="Column8"/>
    <tableColumn id="9" xr3:uid="{00000000-0010-0000-3900-000009000000}" name="Column9"/>
    <tableColumn id="10" xr3:uid="{00000000-0010-0000-3900-00000A000000}" name="Column10"/>
    <tableColumn id="11" xr3:uid="{00000000-0010-0000-3900-00000B000000}" name="Column11"/>
    <tableColumn id="12" xr3:uid="{00000000-0010-0000-3900-00000C000000}" name="Column12"/>
    <tableColumn id="13" xr3:uid="{00000000-0010-0000-3900-00000D000000}" name="Column13"/>
    <tableColumn id="14" xr3:uid="{00000000-0010-0000-3900-00000E000000}" name="Column14"/>
    <tableColumn id="15" xr3:uid="{00000000-0010-0000-3900-00000F000000}" name="Column15"/>
    <tableColumn id="16" xr3:uid="{00000000-0010-0000-3900-000010000000}" name="Column16"/>
    <tableColumn id="17" xr3:uid="{00000000-0010-0000-3900-000011000000}" name="Column17"/>
    <tableColumn id="18" xr3:uid="{00000000-0010-0000-3900-000012000000}" name="Column18"/>
    <tableColumn id="19" xr3:uid="{00000000-0010-0000-3900-000013000000}" name="Column19"/>
    <tableColumn id="20" xr3:uid="{00000000-0010-0000-3900-000014000000}" name="Column20"/>
    <tableColumn id="21" xr3:uid="{00000000-0010-0000-3900-000015000000}" name="Column21"/>
    <tableColumn id="22" xr3:uid="{00000000-0010-0000-3900-000016000000}" name="Column22"/>
    <tableColumn id="23" xr3:uid="{00000000-0010-0000-3900-000017000000}" name="Column23"/>
    <tableColumn id="24" xr3:uid="{00000000-0010-0000-3900-000018000000}" name="Column24"/>
    <tableColumn id="25" xr3:uid="{00000000-0010-0000-3900-000019000000}" name="Column25"/>
    <tableColumn id="26" xr3:uid="{00000000-0010-0000-3900-00001A000000}" name="Column26"/>
    <tableColumn id="27" xr3:uid="{00000000-0010-0000-3900-00001B000000}" name="Column27"/>
    <tableColumn id="28" xr3:uid="{00000000-0010-0000-3900-00001C000000}" name="Column28"/>
    <tableColumn id="29" xr3:uid="{00000000-0010-0000-3900-00001D000000}" name="Column29"/>
    <tableColumn id="30" xr3:uid="{00000000-0010-0000-3900-00001E000000}" name="Column30"/>
    <tableColumn id="31" xr3:uid="{00000000-0010-0000-3900-00001F000000}" name="Column31"/>
    <tableColumn id="32" xr3:uid="{00000000-0010-0000-3900-000020000000}" name="Column32"/>
    <tableColumn id="33" xr3:uid="{00000000-0010-0000-3900-000021000000}" name="Column33"/>
    <tableColumn id="34" xr3:uid="{00000000-0010-0000-3900-000022000000}" name="Column34"/>
    <tableColumn id="35" xr3:uid="{00000000-0010-0000-3900-000023000000}" name="Column35"/>
    <tableColumn id="36" xr3:uid="{00000000-0010-0000-3900-000024000000}" name="Column36"/>
    <tableColumn id="37" xr3:uid="{00000000-0010-0000-3900-000025000000}" name="Column37"/>
    <tableColumn id="38" xr3:uid="{00000000-0010-0000-3900-000026000000}" name="Column38"/>
    <tableColumn id="39" xr3:uid="{00000000-0010-0000-3900-000027000000}" name="Column39"/>
    <tableColumn id="40" xr3:uid="{00000000-0010-0000-3900-000028000000}" name="Column40"/>
    <tableColumn id="41" xr3:uid="{00000000-0010-0000-3900-000029000000}" name="Column41"/>
    <tableColumn id="42" xr3:uid="{00000000-0010-0000-3900-00002A000000}" name="Column42"/>
    <tableColumn id="43" xr3:uid="{00000000-0010-0000-3900-00002B000000}" name="Column43"/>
    <tableColumn id="44" xr3:uid="{00000000-0010-0000-3900-00002C000000}" name="Column44"/>
    <tableColumn id="45" xr3:uid="{00000000-0010-0000-3900-00002D000000}" name="Column45"/>
    <tableColumn id="46" xr3:uid="{00000000-0010-0000-3900-00002E000000}" name="Column46"/>
    <tableColumn id="47" xr3:uid="{00000000-0010-0000-3900-00002F000000}" name="Column47"/>
    <tableColumn id="48" xr3:uid="{00000000-0010-0000-3900-000030000000}" name="Column48"/>
    <tableColumn id="49" xr3:uid="{00000000-0010-0000-3900-000031000000}" name="Column49"/>
    <tableColumn id="50" xr3:uid="{00000000-0010-0000-3900-000032000000}" name="Column50"/>
    <tableColumn id="51" xr3:uid="{00000000-0010-0000-3900-000033000000}" name="Column51"/>
    <tableColumn id="52" xr3:uid="{00000000-0010-0000-3900-000034000000}" name="Column52"/>
    <tableColumn id="53" xr3:uid="{00000000-0010-0000-3900-000035000000}" name="Column53"/>
    <tableColumn id="54" xr3:uid="{00000000-0010-0000-3900-000036000000}" name="Column54"/>
    <tableColumn id="55" xr3:uid="{00000000-0010-0000-3900-000037000000}" name="Column55"/>
    <tableColumn id="56" xr3:uid="{00000000-0010-0000-3900-000038000000}" name="Column56"/>
    <tableColumn id="57" xr3:uid="{00000000-0010-0000-3900-000039000000}" name="Column57"/>
    <tableColumn id="58" xr3:uid="{00000000-0010-0000-3900-00003A000000}" name="Column58"/>
    <tableColumn id="59" xr3:uid="{00000000-0010-0000-3900-00003B000000}" name="Column59"/>
    <tableColumn id="60" xr3:uid="{00000000-0010-0000-3900-00003C000000}" name="Column60"/>
    <tableColumn id="61" xr3:uid="{00000000-0010-0000-3900-00003D000000}" name="Column61"/>
    <tableColumn id="62" xr3:uid="{00000000-0010-0000-3900-00003E000000}" name="Column62"/>
    <tableColumn id="63" xr3:uid="{00000000-0010-0000-3900-00003F000000}" name="Column63"/>
    <tableColumn id="64" xr3:uid="{00000000-0010-0000-3900-000040000000}" name="Column64"/>
    <tableColumn id="65" xr3:uid="{00000000-0010-0000-3900-000041000000}" name="Column65"/>
    <tableColumn id="66" xr3:uid="{00000000-0010-0000-3900-000042000000}" name="Column66"/>
    <tableColumn id="67" xr3:uid="{00000000-0010-0000-3900-000043000000}" name="Column67"/>
    <tableColumn id="68" xr3:uid="{00000000-0010-0000-3900-000044000000}" name="Column68"/>
    <tableColumn id="69" xr3:uid="{00000000-0010-0000-3900-000045000000}" name="Column69"/>
    <tableColumn id="70" xr3:uid="{00000000-0010-0000-3900-000046000000}" name="Column70"/>
    <tableColumn id="71" xr3:uid="{00000000-0010-0000-3900-000047000000}" name="Column71"/>
    <tableColumn id="72" xr3:uid="{00000000-0010-0000-3900-000048000000}" name="Column72"/>
    <tableColumn id="73" xr3:uid="{00000000-0010-0000-3900-000049000000}" name="Column73"/>
    <tableColumn id="74" xr3:uid="{00000000-0010-0000-3900-00004A000000}" name="Column74"/>
    <tableColumn id="75" xr3:uid="{00000000-0010-0000-3900-00004B000000}" name="Column75"/>
    <tableColumn id="76" xr3:uid="{00000000-0010-0000-3900-00004C000000}" name="Column76"/>
    <tableColumn id="77" xr3:uid="{00000000-0010-0000-3900-00004D000000}" name="Column77"/>
    <tableColumn id="78" xr3:uid="{00000000-0010-0000-3900-00004E000000}" name="Column78"/>
    <tableColumn id="79" xr3:uid="{00000000-0010-0000-3900-00004F000000}" name="Column79"/>
    <tableColumn id="80" xr3:uid="{00000000-0010-0000-3900-000050000000}" name="Column80"/>
    <tableColumn id="81" xr3:uid="{00000000-0010-0000-3900-000051000000}" name="Column81"/>
    <tableColumn id="82" xr3:uid="{00000000-0010-0000-3900-000052000000}" name="Column82"/>
    <tableColumn id="83" xr3:uid="{00000000-0010-0000-3900-000053000000}" name="Column83"/>
    <tableColumn id="84" xr3:uid="{00000000-0010-0000-3900-000054000000}" name="Column84"/>
    <tableColumn id="85" xr3:uid="{00000000-0010-0000-3900-000055000000}" name="Column85"/>
    <tableColumn id="86" xr3:uid="{00000000-0010-0000-3900-000056000000}" name="Column86"/>
    <tableColumn id="87" xr3:uid="{00000000-0010-0000-3900-000057000000}" name="Column87"/>
    <tableColumn id="88" xr3:uid="{00000000-0010-0000-3900-000058000000}" name="Column88"/>
    <tableColumn id="89" xr3:uid="{00000000-0010-0000-3900-000059000000}" name="Column89"/>
    <tableColumn id="90" xr3:uid="{00000000-0010-0000-3900-00005A000000}" name="Column90"/>
  </tableColumns>
  <tableStyleInfo name="DATA_MODEL-style 32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Table_57" displayName="Table_57" ref="I39:CT39" headerRowCount="0">
  <tableColumns count="90">
    <tableColumn id="1" xr3:uid="{00000000-0010-0000-3A00-000001000000}" name="Column1"/>
    <tableColumn id="2" xr3:uid="{00000000-0010-0000-3A00-000002000000}" name="Column2"/>
    <tableColumn id="3" xr3:uid="{00000000-0010-0000-3A00-000003000000}" name="Column3"/>
    <tableColumn id="4" xr3:uid="{00000000-0010-0000-3A00-000004000000}" name="Column4"/>
    <tableColumn id="5" xr3:uid="{00000000-0010-0000-3A00-000005000000}" name="Column5"/>
    <tableColumn id="6" xr3:uid="{00000000-0010-0000-3A00-000006000000}" name="Column6"/>
    <tableColumn id="7" xr3:uid="{00000000-0010-0000-3A00-000007000000}" name="Column7"/>
    <tableColumn id="8" xr3:uid="{00000000-0010-0000-3A00-000008000000}" name="Column8"/>
    <tableColumn id="9" xr3:uid="{00000000-0010-0000-3A00-000009000000}" name="Column9"/>
    <tableColumn id="10" xr3:uid="{00000000-0010-0000-3A00-00000A000000}" name="Column10"/>
    <tableColumn id="11" xr3:uid="{00000000-0010-0000-3A00-00000B000000}" name="Column11"/>
    <tableColumn id="12" xr3:uid="{00000000-0010-0000-3A00-00000C000000}" name="Column12"/>
    <tableColumn id="13" xr3:uid="{00000000-0010-0000-3A00-00000D000000}" name="Column13"/>
    <tableColumn id="14" xr3:uid="{00000000-0010-0000-3A00-00000E000000}" name="Column14"/>
    <tableColumn id="15" xr3:uid="{00000000-0010-0000-3A00-00000F000000}" name="Column15"/>
    <tableColumn id="16" xr3:uid="{00000000-0010-0000-3A00-000010000000}" name="Column16"/>
    <tableColumn id="17" xr3:uid="{00000000-0010-0000-3A00-000011000000}" name="Column17"/>
    <tableColumn id="18" xr3:uid="{00000000-0010-0000-3A00-000012000000}" name="Column18"/>
    <tableColumn id="19" xr3:uid="{00000000-0010-0000-3A00-000013000000}" name="Column19"/>
    <tableColumn id="20" xr3:uid="{00000000-0010-0000-3A00-000014000000}" name="Column20"/>
    <tableColumn id="21" xr3:uid="{00000000-0010-0000-3A00-000015000000}" name="Column21"/>
    <tableColumn id="22" xr3:uid="{00000000-0010-0000-3A00-000016000000}" name="Column22"/>
    <tableColumn id="23" xr3:uid="{00000000-0010-0000-3A00-000017000000}" name="Column23"/>
    <tableColumn id="24" xr3:uid="{00000000-0010-0000-3A00-000018000000}" name="Column24"/>
    <tableColumn id="25" xr3:uid="{00000000-0010-0000-3A00-000019000000}" name="Column25"/>
    <tableColumn id="26" xr3:uid="{00000000-0010-0000-3A00-00001A000000}" name="Column26"/>
    <tableColumn id="27" xr3:uid="{00000000-0010-0000-3A00-00001B000000}" name="Column27"/>
    <tableColumn id="28" xr3:uid="{00000000-0010-0000-3A00-00001C000000}" name="Column28"/>
    <tableColumn id="29" xr3:uid="{00000000-0010-0000-3A00-00001D000000}" name="Column29"/>
    <tableColumn id="30" xr3:uid="{00000000-0010-0000-3A00-00001E000000}" name="Column30"/>
    <tableColumn id="31" xr3:uid="{00000000-0010-0000-3A00-00001F000000}" name="Column31"/>
    <tableColumn id="32" xr3:uid="{00000000-0010-0000-3A00-000020000000}" name="Column32"/>
    <tableColumn id="33" xr3:uid="{00000000-0010-0000-3A00-000021000000}" name="Column33"/>
    <tableColumn id="34" xr3:uid="{00000000-0010-0000-3A00-000022000000}" name="Column34"/>
    <tableColumn id="35" xr3:uid="{00000000-0010-0000-3A00-000023000000}" name="Column35"/>
    <tableColumn id="36" xr3:uid="{00000000-0010-0000-3A00-000024000000}" name="Column36"/>
    <tableColumn id="37" xr3:uid="{00000000-0010-0000-3A00-000025000000}" name="Column37"/>
    <tableColumn id="38" xr3:uid="{00000000-0010-0000-3A00-000026000000}" name="Column38"/>
    <tableColumn id="39" xr3:uid="{00000000-0010-0000-3A00-000027000000}" name="Column39"/>
    <tableColumn id="40" xr3:uid="{00000000-0010-0000-3A00-000028000000}" name="Column40"/>
    <tableColumn id="41" xr3:uid="{00000000-0010-0000-3A00-000029000000}" name="Column41"/>
    <tableColumn id="42" xr3:uid="{00000000-0010-0000-3A00-00002A000000}" name="Column42"/>
    <tableColumn id="43" xr3:uid="{00000000-0010-0000-3A00-00002B000000}" name="Column43"/>
    <tableColumn id="44" xr3:uid="{00000000-0010-0000-3A00-00002C000000}" name="Column44"/>
    <tableColumn id="45" xr3:uid="{00000000-0010-0000-3A00-00002D000000}" name="Column45"/>
    <tableColumn id="46" xr3:uid="{00000000-0010-0000-3A00-00002E000000}" name="Column46"/>
    <tableColumn id="47" xr3:uid="{00000000-0010-0000-3A00-00002F000000}" name="Column47"/>
    <tableColumn id="48" xr3:uid="{00000000-0010-0000-3A00-000030000000}" name="Column48"/>
    <tableColumn id="49" xr3:uid="{00000000-0010-0000-3A00-000031000000}" name="Column49"/>
    <tableColumn id="50" xr3:uid="{00000000-0010-0000-3A00-000032000000}" name="Column50"/>
    <tableColumn id="51" xr3:uid="{00000000-0010-0000-3A00-000033000000}" name="Column51"/>
    <tableColumn id="52" xr3:uid="{00000000-0010-0000-3A00-000034000000}" name="Column52"/>
    <tableColumn id="53" xr3:uid="{00000000-0010-0000-3A00-000035000000}" name="Column53"/>
    <tableColumn id="54" xr3:uid="{00000000-0010-0000-3A00-000036000000}" name="Column54"/>
    <tableColumn id="55" xr3:uid="{00000000-0010-0000-3A00-000037000000}" name="Column55"/>
    <tableColumn id="56" xr3:uid="{00000000-0010-0000-3A00-000038000000}" name="Column56"/>
    <tableColumn id="57" xr3:uid="{00000000-0010-0000-3A00-000039000000}" name="Column57"/>
    <tableColumn id="58" xr3:uid="{00000000-0010-0000-3A00-00003A000000}" name="Column58"/>
    <tableColumn id="59" xr3:uid="{00000000-0010-0000-3A00-00003B000000}" name="Column59"/>
    <tableColumn id="60" xr3:uid="{00000000-0010-0000-3A00-00003C000000}" name="Column60"/>
    <tableColumn id="61" xr3:uid="{00000000-0010-0000-3A00-00003D000000}" name="Column61"/>
    <tableColumn id="62" xr3:uid="{00000000-0010-0000-3A00-00003E000000}" name="Column62"/>
    <tableColumn id="63" xr3:uid="{00000000-0010-0000-3A00-00003F000000}" name="Column63"/>
    <tableColumn id="64" xr3:uid="{00000000-0010-0000-3A00-000040000000}" name="Column64"/>
    <tableColumn id="65" xr3:uid="{00000000-0010-0000-3A00-000041000000}" name="Column65"/>
    <tableColumn id="66" xr3:uid="{00000000-0010-0000-3A00-000042000000}" name="Column66"/>
    <tableColumn id="67" xr3:uid="{00000000-0010-0000-3A00-000043000000}" name="Column67"/>
    <tableColumn id="68" xr3:uid="{00000000-0010-0000-3A00-000044000000}" name="Column68"/>
    <tableColumn id="69" xr3:uid="{00000000-0010-0000-3A00-000045000000}" name="Column69"/>
    <tableColumn id="70" xr3:uid="{00000000-0010-0000-3A00-000046000000}" name="Column70"/>
    <tableColumn id="71" xr3:uid="{00000000-0010-0000-3A00-000047000000}" name="Column71"/>
    <tableColumn id="72" xr3:uid="{00000000-0010-0000-3A00-000048000000}" name="Column72"/>
    <tableColumn id="73" xr3:uid="{00000000-0010-0000-3A00-000049000000}" name="Column73"/>
    <tableColumn id="74" xr3:uid="{00000000-0010-0000-3A00-00004A000000}" name="Column74"/>
    <tableColumn id="75" xr3:uid="{00000000-0010-0000-3A00-00004B000000}" name="Column75"/>
    <tableColumn id="76" xr3:uid="{00000000-0010-0000-3A00-00004C000000}" name="Column76"/>
    <tableColumn id="77" xr3:uid="{00000000-0010-0000-3A00-00004D000000}" name="Column77"/>
    <tableColumn id="78" xr3:uid="{00000000-0010-0000-3A00-00004E000000}" name="Column78"/>
    <tableColumn id="79" xr3:uid="{00000000-0010-0000-3A00-00004F000000}" name="Column79"/>
    <tableColumn id="80" xr3:uid="{00000000-0010-0000-3A00-000050000000}" name="Column80"/>
    <tableColumn id="81" xr3:uid="{00000000-0010-0000-3A00-000051000000}" name="Column81"/>
    <tableColumn id="82" xr3:uid="{00000000-0010-0000-3A00-000052000000}" name="Column82"/>
    <tableColumn id="83" xr3:uid="{00000000-0010-0000-3A00-000053000000}" name="Column83"/>
    <tableColumn id="84" xr3:uid="{00000000-0010-0000-3A00-000054000000}" name="Column84"/>
    <tableColumn id="85" xr3:uid="{00000000-0010-0000-3A00-000055000000}" name="Column85"/>
    <tableColumn id="86" xr3:uid="{00000000-0010-0000-3A00-000056000000}" name="Column86"/>
    <tableColumn id="87" xr3:uid="{00000000-0010-0000-3A00-000057000000}" name="Column87"/>
    <tableColumn id="88" xr3:uid="{00000000-0010-0000-3A00-000058000000}" name="Column88"/>
    <tableColumn id="89" xr3:uid="{00000000-0010-0000-3A00-000059000000}" name="Column89"/>
    <tableColumn id="90" xr3:uid="{00000000-0010-0000-3A00-00005A000000}" name="Column90"/>
  </tableColumns>
  <tableStyleInfo name="DATA_MODEL-style 33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Table_58" displayName="Table_58" ref="I40:CT40" headerRowCount="0">
  <tableColumns count="90">
    <tableColumn id="1" xr3:uid="{00000000-0010-0000-3B00-000001000000}" name="Column1"/>
    <tableColumn id="2" xr3:uid="{00000000-0010-0000-3B00-000002000000}" name="Column2"/>
    <tableColumn id="3" xr3:uid="{00000000-0010-0000-3B00-000003000000}" name="Column3"/>
    <tableColumn id="4" xr3:uid="{00000000-0010-0000-3B00-000004000000}" name="Column4"/>
    <tableColumn id="5" xr3:uid="{00000000-0010-0000-3B00-000005000000}" name="Column5"/>
    <tableColumn id="6" xr3:uid="{00000000-0010-0000-3B00-000006000000}" name="Column6"/>
    <tableColumn id="7" xr3:uid="{00000000-0010-0000-3B00-000007000000}" name="Column7"/>
    <tableColumn id="8" xr3:uid="{00000000-0010-0000-3B00-000008000000}" name="Column8"/>
    <tableColumn id="9" xr3:uid="{00000000-0010-0000-3B00-000009000000}" name="Column9"/>
    <tableColumn id="10" xr3:uid="{00000000-0010-0000-3B00-00000A000000}" name="Column10"/>
    <tableColumn id="11" xr3:uid="{00000000-0010-0000-3B00-00000B000000}" name="Column11"/>
    <tableColumn id="12" xr3:uid="{00000000-0010-0000-3B00-00000C000000}" name="Column12"/>
    <tableColumn id="13" xr3:uid="{00000000-0010-0000-3B00-00000D000000}" name="Column13"/>
    <tableColumn id="14" xr3:uid="{00000000-0010-0000-3B00-00000E000000}" name="Column14"/>
    <tableColumn id="15" xr3:uid="{00000000-0010-0000-3B00-00000F000000}" name="Column15"/>
    <tableColumn id="16" xr3:uid="{00000000-0010-0000-3B00-000010000000}" name="Column16"/>
    <tableColumn id="17" xr3:uid="{00000000-0010-0000-3B00-000011000000}" name="Column17"/>
    <tableColumn id="18" xr3:uid="{00000000-0010-0000-3B00-000012000000}" name="Column18"/>
    <tableColumn id="19" xr3:uid="{00000000-0010-0000-3B00-000013000000}" name="Column19"/>
    <tableColumn id="20" xr3:uid="{00000000-0010-0000-3B00-000014000000}" name="Column20"/>
    <tableColumn id="21" xr3:uid="{00000000-0010-0000-3B00-000015000000}" name="Column21"/>
    <tableColumn id="22" xr3:uid="{00000000-0010-0000-3B00-000016000000}" name="Column22"/>
    <tableColumn id="23" xr3:uid="{00000000-0010-0000-3B00-000017000000}" name="Column23"/>
    <tableColumn id="24" xr3:uid="{00000000-0010-0000-3B00-000018000000}" name="Column24"/>
    <tableColumn id="25" xr3:uid="{00000000-0010-0000-3B00-000019000000}" name="Column25"/>
    <tableColumn id="26" xr3:uid="{00000000-0010-0000-3B00-00001A000000}" name="Column26"/>
    <tableColumn id="27" xr3:uid="{00000000-0010-0000-3B00-00001B000000}" name="Column27"/>
    <tableColumn id="28" xr3:uid="{00000000-0010-0000-3B00-00001C000000}" name="Column28"/>
    <tableColumn id="29" xr3:uid="{00000000-0010-0000-3B00-00001D000000}" name="Column29"/>
    <tableColumn id="30" xr3:uid="{00000000-0010-0000-3B00-00001E000000}" name="Column30"/>
    <tableColumn id="31" xr3:uid="{00000000-0010-0000-3B00-00001F000000}" name="Column31"/>
    <tableColumn id="32" xr3:uid="{00000000-0010-0000-3B00-000020000000}" name="Column32"/>
    <tableColumn id="33" xr3:uid="{00000000-0010-0000-3B00-000021000000}" name="Column33"/>
    <tableColumn id="34" xr3:uid="{00000000-0010-0000-3B00-000022000000}" name="Column34"/>
    <tableColumn id="35" xr3:uid="{00000000-0010-0000-3B00-000023000000}" name="Column35"/>
    <tableColumn id="36" xr3:uid="{00000000-0010-0000-3B00-000024000000}" name="Column36"/>
    <tableColumn id="37" xr3:uid="{00000000-0010-0000-3B00-000025000000}" name="Column37"/>
    <tableColumn id="38" xr3:uid="{00000000-0010-0000-3B00-000026000000}" name="Column38"/>
    <tableColumn id="39" xr3:uid="{00000000-0010-0000-3B00-000027000000}" name="Column39"/>
    <tableColumn id="40" xr3:uid="{00000000-0010-0000-3B00-000028000000}" name="Column40"/>
    <tableColumn id="41" xr3:uid="{00000000-0010-0000-3B00-000029000000}" name="Column41"/>
    <tableColumn id="42" xr3:uid="{00000000-0010-0000-3B00-00002A000000}" name="Column42"/>
    <tableColumn id="43" xr3:uid="{00000000-0010-0000-3B00-00002B000000}" name="Column43"/>
    <tableColumn id="44" xr3:uid="{00000000-0010-0000-3B00-00002C000000}" name="Column44"/>
    <tableColumn id="45" xr3:uid="{00000000-0010-0000-3B00-00002D000000}" name="Column45"/>
    <tableColumn id="46" xr3:uid="{00000000-0010-0000-3B00-00002E000000}" name="Column46"/>
    <tableColumn id="47" xr3:uid="{00000000-0010-0000-3B00-00002F000000}" name="Column47"/>
    <tableColumn id="48" xr3:uid="{00000000-0010-0000-3B00-000030000000}" name="Column48"/>
    <tableColumn id="49" xr3:uid="{00000000-0010-0000-3B00-000031000000}" name="Column49"/>
    <tableColumn id="50" xr3:uid="{00000000-0010-0000-3B00-000032000000}" name="Column50"/>
    <tableColumn id="51" xr3:uid="{00000000-0010-0000-3B00-000033000000}" name="Column51"/>
    <tableColumn id="52" xr3:uid="{00000000-0010-0000-3B00-000034000000}" name="Column52"/>
    <tableColumn id="53" xr3:uid="{00000000-0010-0000-3B00-000035000000}" name="Column53"/>
    <tableColumn id="54" xr3:uid="{00000000-0010-0000-3B00-000036000000}" name="Column54"/>
    <tableColumn id="55" xr3:uid="{00000000-0010-0000-3B00-000037000000}" name="Column55"/>
    <tableColumn id="56" xr3:uid="{00000000-0010-0000-3B00-000038000000}" name="Column56"/>
    <tableColumn id="57" xr3:uid="{00000000-0010-0000-3B00-000039000000}" name="Column57"/>
    <tableColumn id="58" xr3:uid="{00000000-0010-0000-3B00-00003A000000}" name="Column58"/>
    <tableColumn id="59" xr3:uid="{00000000-0010-0000-3B00-00003B000000}" name="Column59"/>
    <tableColumn id="60" xr3:uid="{00000000-0010-0000-3B00-00003C000000}" name="Column60"/>
    <tableColumn id="61" xr3:uid="{00000000-0010-0000-3B00-00003D000000}" name="Column61"/>
    <tableColumn id="62" xr3:uid="{00000000-0010-0000-3B00-00003E000000}" name="Column62"/>
    <tableColumn id="63" xr3:uid="{00000000-0010-0000-3B00-00003F000000}" name="Column63"/>
    <tableColumn id="64" xr3:uid="{00000000-0010-0000-3B00-000040000000}" name="Column64"/>
    <tableColumn id="65" xr3:uid="{00000000-0010-0000-3B00-000041000000}" name="Column65"/>
    <tableColumn id="66" xr3:uid="{00000000-0010-0000-3B00-000042000000}" name="Column66"/>
    <tableColumn id="67" xr3:uid="{00000000-0010-0000-3B00-000043000000}" name="Column67"/>
    <tableColumn id="68" xr3:uid="{00000000-0010-0000-3B00-000044000000}" name="Column68"/>
    <tableColumn id="69" xr3:uid="{00000000-0010-0000-3B00-000045000000}" name="Column69"/>
    <tableColumn id="70" xr3:uid="{00000000-0010-0000-3B00-000046000000}" name="Column70"/>
    <tableColumn id="71" xr3:uid="{00000000-0010-0000-3B00-000047000000}" name="Column71"/>
    <tableColumn id="72" xr3:uid="{00000000-0010-0000-3B00-000048000000}" name="Column72"/>
    <tableColumn id="73" xr3:uid="{00000000-0010-0000-3B00-000049000000}" name="Column73"/>
    <tableColumn id="74" xr3:uid="{00000000-0010-0000-3B00-00004A000000}" name="Column74"/>
    <tableColumn id="75" xr3:uid="{00000000-0010-0000-3B00-00004B000000}" name="Column75"/>
    <tableColumn id="76" xr3:uid="{00000000-0010-0000-3B00-00004C000000}" name="Column76"/>
    <tableColumn id="77" xr3:uid="{00000000-0010-0000-3B00-00004D000000}" name="Column77"/>
    <tableColumn id="78" xr3:uid="{00000000-0010-0000-3B00-00004E000000}" name="Column78"/>
    <tableColumn id="79" xr3:uid="{00000000-0010-0000-3B00-00004F000000}" name="Column79"/>
    <tableColumn id="80" xr3:uid="{00000000-0010-0000-3B00-000050000000}" name="Column80"/>
    <tableColumn id="81" xr3:uid="{00000000-0010-0000-3B00-000051000000}" name="Column81"/>
    <tableColumn id="82" xr3:uid="{00000000-0010-0000-3B00-000052000000}" name="Column82"/>
    <tableColumn id="83" xr3:uid="{00000000-0010-0000-3B00-000053000000}" name="Column83"/>
    <tableColumn id="84" xr3:uid="{00000000-0010-0000-3B00-000054000000}" name="Column84"/>
    <tableColumn id="85" xr3:uid="{00000000-0010-0000-3B00-000055000000}" name="Column85"/>
    <tableColumn id="86" xr3:uid="{00000000-0010-0000-3B00-000056000000}" name="Column86"/>
    <tableColumn id="87" xr3:uid="{00000000-0010-0000-3B00-000057000000}" name="Column87"/>
    <tableColumn id="88" xr3:uid="{00000000-0010-0000-3B00-000058000000}" name="Column88"/>
    <tableColumn id="89" xr3:uid="{00000000-0010-0000-3B00-000059000000}" name="Column89"/>
    <tableColumn id="90" xr3:uid="{00000000-0010-0000-3B00-00005A000000}" name="Column90"/>
  </tableColumns>
  <tableStyleInfo name="DATA_MODEL-style 34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00000000-000C-0000-FFFF-FFFF3C000000}" name="Table_59" displayName="Table_59" ref="I41:CT41" headerRowCount="0">
  <tableColumns count="90">
    <tableColumn id="1" xr3:uid="{00000000-0010-0000-3C00-000001000000}" name="Column1"/>
    <tableColumn id="2" xr3:uid="{00000000-0010-0000-3C00-000002000000}" name="Column2"/>
    <tableColumn id="3" xr3:uid="{00000000-0010-0000-3C00-000003000000}" name="Column3"/>
    <tableColumn id="4" xr3:uid="{00000000-0010-0000-3C00-000004000000}" name="Column4"/>
    <tableColumn id="5" xr3:uid="{00000000-0010-0000-3C00-000005000000}" name="Column5"/>
    <tableColumn id="6" xr3:uid="{00000000-0010-0000-3C00-000006000000}" name="Column6"/>
    <tableColumn id="7" xr3:uid="{00000000-0010-0000-3C00-000007000000}" name="Column7"/>
    <tableColumn id="8" xr3:uid="{00000000-0010-0000-3C00-000008000000}" name="Column8"/>
    <tableColumn id="9" xr3:uid="{00000000-0010-0000-3C00-000009000000}" name="Column9"/>
    <tableColumn id="10" xr3:uid="{00000000-0010-0000-3C00-00000A000000}" name="Column10"/>
    <tableColumn id="11" xr3:uid="{00000000-0010-0000-3C00-00000B000000}" name="Column11"/>
    <tableColumn id="12" xr3:uid="{00000000-0010-0000-3C00-00000C000000}" name="Column12"/>
    <tableColumn id="13" xr3:uid="{00000000-0010-0000-3C00-00000D000000}" name="Column13"/>
    <tableColumn id="14" xr3:uid="{00000000-0010-0000-3C00-00000E000000}" name="Column14"/>
    <tableColumn id="15" xr3:uid="{00000000-0010-0000-3C00-00000F000000}" name="Column15"/>
    <tableColumn id="16" xr3:uid="{00000000-0010-0000-3C00-000010000000}" name="Column16"/>
    <tableColumn id="17" xr3:uid="{00000000-0010-0000-3C00-000011000000}" name="Column17"/>
    <tableColumn id="18" xr3:uid="{00000000-0010-0000-3C00-000012000000}" name="Column18"/>
    <tableColumn id="19" xr3:uid="{00000000-0010-0000-3C00-000013000000}" name="Column19"/>
    <tableColumn id="20" xr3:uid="{00000000-0010-0000-3C00-000014000000}" name="Column20"/>
    <tableColumn id="21" xr3:uid="{00000000-0010-0000-3C00-000015000000}" name="Column21"/>
    <tableColumn id="22" xr3:uid="{00000000-0010-0000-3C00-000016000000}" name="Column22"/>
    <tableColumn id="23" xr3:uid="{00000000-0010-0000-3C00-000017000000}" name="Column23"/>
    <tableColumn id="24" xr3:uid="{00000000-0010-0000-3C00-000018000000}" name="Column24"/>
    <tableColumn id="25" xr3:uid="{00000000-0010-0000-3C00-000019000000}" name="Column25"/>
    <tableColumn id="26" xr3:uid="{00000000-0010-0000-3C00-00001A000000}" name="Column26"/>
    <tableColumn id="27" xr3:uid="{00000000-0010-0000-3C00-00001B000000}" name="Column27"/>
    <tableColumn id="28" xr3:uid="{00000000-0010-0000-3C00-00001C000000}" name="Column28"/>
    <tableColumn id="29" xr3:uid="{00000000-0010-0000-3C00-00001D000000}" name="Column29"/>
    <tableColumn id="30" xr3:uid="{00000000-0010-0000-3C00-00001E000000}" name="Column30"/>
    <tableColumn id="31" xr3:uid="{00000000-0010-0000-3C00-00001F000000}" name="Column31"/>
    <tableColumn id="32" xr3:uid="{00000000-0010-0000-3C00-000020000000}" name="Column32"/>
    <tableColumn id="33" xr3:uid="{00000000-0010-0000-3C00-000021000000}" name="Column33"/>
    <tableColumn id="34" xr3:uid="{00000000-0010-0000-3C00-000022000000}" name="Column34"/>
    <tableColumn id="35" xr3:uid="{00000000-0010-0000-3C00-000023000000}" name="Column35"/>
    <tableColumn id="36" xr3:uid="{00000000-0010-0000-3C00-000024000000}" name="Column36"/>
    <tableColumn id="37" xr3:uid="{00000000-0010-0000-3C00-000025000000}" name="Column37"/>
    <tableColumn id="38" xr3:uid="{00000000-0010-0000-3C00-000026000000}" name="Column38"/>
    <tableColumn id="39" xr3:uid="{00000000-0010-0000-3C00-000027000000}" name="Column39"/>
    <tableColumn id="40" xr3:uid="{00000000-0010-0000-3C00-000028000000}" name="Column40"/>
    <tableColumn id="41" xr3:uid="{00000000-0010-0000-3C00-000029000000}" name="Column41"/>
    <tableColumn id="42" xr3:uid="{00000000-0010-0000-3C00-00002A000000}" name="Column42"/>
    <tableColumn id="43" xr3:uid="{00000000-0010-0000-3C00-00002B000000}" name="Column43"/>
    <tableColumn id="44" xr3:uid="{00000000-0010-0000-3C00-00002C000000}" name="Column44"/>
    <tableColumn id="45" xr3:uid="{00000000-0010-0000-3C00-00002D000000}" name="Column45"/>
    <tableColumn id="46" xr3:uid="{00000000-0010-0000-3C00-00002E000000}" name="Column46"/>
    <tableColumn id="47" xr3:uid="{00000000-0010-0000-3C00-00002F000000}" name="Column47"/>
    <tableColumn id="48" xr3:uid="{00000000-0010-0000-3C00-000030000000}" name="Column48"/>
    <tableColumn id="49" xr3:uid="{00000000-0010-0000-3C00-000031000000}" name="Column49"/>
    <tableColumn id="50" xr3:uid="{00000000-0010-0000-3C00-000032000000}" name="Column50"/>
    <tableColumn id="51" xr3:uid="{00000000-0010-0000-3C00-000033000000}" name="Column51"/>
    <tableColumn id="52" xr3:uid="{00000000-0010-0000-3C00-000034000000}" name="Column52"/>
    <tableColumn id="53" xr3:uid="{00000000-0010-0000-3C00-000035000000}" name="Column53"/>
    <tableColumn id="54" xr3:uid="{00000000-0010-0000-3C00-000036000000}" name="Column54"/>
    <tableColumn id="55" xr3:uid="{00000000-0010-0000-3C00-000037000000}" name="Column55"/>
    <tableColumn id="56" xr3:uid="{00000000-0010-0000-3C00-000038000000}" name="Column56"/>
    <tableColumn id="57" xr3:uid="{00000000-0010-0000-3C00-000039000000}" name="Column57"/>
    <tableColumn id="58" xr3:uid="{00000000-0010-0000-3C00-00003A000000}" name="Column58"/>
    <tableColumn id="59" xr3:uid="{00000000-0010-0000-3C00-00003B000000}" name="Column59"/>
    <tableColumn id="60" xr3:uid="{00000000-0010-0000-3C00-00003C000000}" name="Column60"/>
    <tableColumn id="61" xr3:uid="{00000000-0010-0000-3C00-00003D000000}" name="Column61"/>
    <tableColumn id="62" xr3:uid="{00000000-0010-0000-3C00-00003E000000}" name="Column62"/>
    <tableColumn id="63" xr3:uid="{00000000-0010-0000-3C00-00003F000000}" name="Column63"/>
    <tableColumn id="64" xr3:uid="{00000000-0010-0000-3C00-000040000000}" name="Column64"/>
    <tableColumn id="65" xr3:uid="{00000000-0010-0000-3C00-000041000000}" name="Column65"/>
    <tableColumn id="66" xr3:uid="{00000000-0010-0000-3C00-000042000000}" name="Column66"/>
    <tableColumn id="67" xr3:uid="{00000000-0010-0000-3C00-000043000000}" name="Column67"/>
    <tableColumn id="68" xr3:uid="{00000000-0010-0000-3C00-000044000000}" name="Column68"/>
    <tableColumn id="69" xr3:uid="{00000000-0010-0000-3C00-000045000000}" name="Column69"/>
    <tableColumn id="70" xr3:uid="{00000000-0010-0000-3C00-000046000000}" name="Column70"/>
    <tableColumn id="71" xr3:uid="{00000000-0010-0000-3C00-000047000000}" name="Column71"/>
    <tableColumn id="72" xr3:uid="{00000000-0010-0000-3C00-000048000000}" name="Column72"/>
    <tableColumn id="73" xr3:uid="{00000000-0010-0000-3C00-000049000000}" name="Column73"/>
    <tableColumn id="74" xr3:uid="{00000000-0010-0000-3C00-00004A000000}" name="Column74"/>
    <tableColumn id="75" xr3:uid="{00000000-0010-0000-3C00-00004B000000}" name="Column75"/>
    <tableColumn id="76" xr3:uid="{00000000-0010-0000-3C00-00004C000000}" name="Column76"/>
    <tableColumn id="77" xr3:uid="{00000000-0010-0000-3C00-00004D000000}" name="Column77"/>
    <tableColumn id="78" xr3:uid="{00000000-0010-0000-3C00-00004E000000}" name="Column78"/>
    <tableColumn id="79" xr3:uid="{00000000-0010-0000-3C00-00004F000000}" name="Column79"/>
    <tableColumn id="80" xr3:uid="{00000000-0010-0000-3C00-000050000000}" name="Column80"/>
    <tableColumn id="81" xr3:uid="{00000000-0010-0000-3C00-000051000000}" name="Column81"/>
    <tableColumn id="82" xr3:uid="{00000000-0010-0000-3C00-000052000000}" name="Column82"/>
    <tableColumn id="83" xr3:uid="{00000000-0010-0000-3C00-000053000000}" name="Column83"/>
    <tableColumn id="84" xr3:uid="{00000000-0010-0000-3C00-000054000000}" name="Column84"/>
    <tableColumn id="85" xr3:uid="{00000000-0010-0000-3C00-000055000000}" name="Column85"/>
    <tableColumn id="86" xr3:uid="{00000000-0010-0000-3C00-000056000000}" name="Column86"/>
    <tableColumn id="87" xr3:uid="{00000000-0010-0000-3C00-000057000000}" name="Column87"/>
    <tableColumn id="88" xr3:uid="{00000000-0010-0000-3C00-000058000000}" name="Column88"/>
    <tableColumn id="89" xr3:uid="{00000000-0010-0000-3C00-000059000000}" name="Column89"/>
    <tableColumn id="90" xr3:uid="{00000000-0010-0000-3C00-00005A000000}" name="Column90"/>
  </tableColumns>
  <tableStyleInfo name="DATA_MODEL-style 35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00000000-000C-0000-FFFF-FFFF3D000000}" name="Table_60" displayName="Table_60" ref="I42:CT42" headerRowCount="0">
  <tableColumns count="90">
    <tableColumn id="1" xr3:uid="{00000000-0010-0000-3D00-000001000000}" name="Column1"/>
    <tableColumn id="2" xr3:uid="{00000000-0010-0000-3D00-000002000000}" name="Column2"/>
    <tableColumn id="3" xr3:uid="{00000000-0010-0000-3D00-000003000000}" name="Column3"/>
    <tableColumn id="4" xr3:uid="{00000000-0010-0000-3D00-000004000000}" name="Column4"/>
    <tableColumn id="5" xr3:uid="{00000000-0010-0000-3D00-000005000000}" name="Column5"/>
    <tableColumn id="6" xr3:uid="{00000000-0010-0000-3D00-000006000000}" name="Column6"/>
    <tableColumn id="7" xr3:uid="{00000000-0010-0000-3D00-000007000000}" name="Column7"/>
    <tableColumn id="8" xr3:uid="{00000000-0010-0000-3D00-000008000000}" name="Column8"/>
    <tableColumn id="9" xr3:uid="{00000000-0010-0000-3D00-000009000000}" name="Column9"/>
    <tableColumn id="10" xr3:uid="{00000000-0010-0000-3D00-00000A000000}" name="Column10"/>
    <tableColumn id="11" xr3:uid="{00000000-0010-0000-3D00-00000B000000}" name="Column11"/>
    <tableColumn id="12" xr3:uid="{00000000-0010-0000-3D00-00000C000000}" name="Column12"/>
    <tableColumn id="13" xr3:uid="{00000000-0010-0000-3D00-00000D000000}" name="Column13"/>
    <tableColumn id="14" xr3:uid="{00000000-0010-0000-3D00-00000E000000}" name="Column14"/>
    <tableColumn id="15" xr3:uid="{00000000-0010-0000-3D00-00000F000000}" name="Column15"/>
    <tableColumn id="16" xr3:uid="{00000000-0010-0000-3D00-000010000000}" name="Column16"/>
    <tableColumn id="17" xr3:uid="{00000000-0010-0000-3D00-000011000000}" name="Column17"/>
    <tableColumn id="18" xr3:uid="{00000000-0010-0000-3D00-000012000000}" name="Column18"/>
    <tableColumn id="19" xr3:uid="{00000000-0010-0000-3D00-000013000000}" name="Column19"/>
    <tableColumn id="20" xr3:uid="{00000000-0010-0000-3D00-000014000000}" name="Column20"/>
    <tableColumn id="21" xr3:uid="{00000000-0010-0000-3D00-000015000000}" name="Column21"/>
    <tableColumn id="22" xr3:uid="{00000000-0010-0000-3D00-000016000000}" name="Column22"/>
    <tableColumn id="23" xr3:uid="{00000000-0010-0000-3D00-000017000000}" name="Column23"/>
    <tableColumn id="24" xr3:uid="{00000000-0010-0000-3D00-000018000000}" name="Column24"/>
    <tableColumn id="25" xr3:uid="{00000000-0010-0000-3D00-000019000000}" name="Column25"/>
    <tableColumn id="26" xr3:uid="{00000000-0010-0000-3D00-00001A000000}" name="Column26"/>
    <tableColumn id="27" xr3:uid="{00000000-0010-0000-3D00-00001B000000}" name="Column27"/>
    <tableColumn id="28" xr3:uid="{00000000-0010-0000-3D00-00001C000000}" name="Column28"/>
    <tableColumn id="29" xr3:uid="{00000000-0010-0000-3D00-00001D000000}" name="Column29"/>
    <tableColumn id="30" xr3:uid="{00000000-0010-0000-3D00-00001E000000}" name="Column30"/>
    <tableColumn id="31" xr3:uid="{00000000-0010-0000-3D00-00001F000000}" name="Column31"/>
    <tableColumn id="32" xr3:uid="{00000000-0010-0000-3D00-000020000000}" name="Column32"/>
    <tableColumn id="33" xr3:uid="{00000000-0010-0000-3D00-000021000000}" name="Column33"/>
    <tableColumn id="34" xr3:uid="{00000000-0010-0000-3D00-000022000000}" name="Column34"/>
    <tableColumn id="35" xr3:uid="{00000000-0010-0000-3D00-000023000000}" name="Column35"/>
    <tableColumn id="36" xr3:uid="{00000000-0010-0000-3D00-000024000000}" name="Column36"/>
    <tableColumn id="37" xr3:uid="{00000000-0010-0000-3D00-000025000000}" name="Column37"/>
    <tableColumn id="38" xr3:uid="{00000000-0010-0000-3D00-000026000000}" name="Column38"/>
    <tableColumn id="39" xr3:uid="{00000000-0010-0000-3D00-000027000000}" name="Column39"/>
    <tableColumn id="40" xr3:uid="{00000000-0010-0000-3D00-000028000000}" name="Column40"/>
    <tableColumn id="41" xr3:uid="{00000000-0010-0000-3D00-000029000000}" name="Column41"/>
    <tableColumn id="42" xr3:uid="{00000000-0010-0000-3D00-00002A000000}" name="Column42"/>
    <tableColumn id="43" xr3:uid="{00000000-0010-0000-3D00-00002B000000}" name="Column43"/>
    <tableColumn id="44" xr3:uid="{00000000-0010-0000-3D00-00002C000000}" name="Column44"/>
    <tableColumn id="45" xr3:uid="{00000000-0010-0000-3D00-00002D000000}" name="Column45"/>
    <tableColumn id="46" xr3:uid="{00000000-0010-0000-3D00-00002E000000}" name="Column46"/>
    <tableColumn id="47" xr3:uid="{00000000-0010-0000-3D00-00002F000000}" name="Column47"/>
    <tableColumn id="48" xr3:uid="{00000000-0010-0000-3D00-000030000000}" name="Column48"/>
    <tableColumn id="49" xr3:uid="{00000000-0010-0000-3D00-000031000000}" name="Column49"/>
    <tableColumn id="50" xr3:uid="{00000000-0010-0000-3D00-000032000000}" name="Column50"/>
    <tableColumn id="51" xr3:uid="{00000000-0010-0000-3D00-000033000000}" name="Column51"/>
    <tableColumn id="52" xr3:uid="{00000000-0010-0000-3D00-000034000000}" name="Column52"/>
    <tableColumn id="53" xr3:uid="{00000000-0010-0000-3D00-000035000000}" name="Column53"/>
    <tableColumn id="54" xr3:uid="{00000000-0010-0000-3D00-000036000000}" name="Column54"/>
    <tableColumn id="55" xr3:uid="{00000000-0010-0000-3D00-000037000000}" name="Column55"/>
    <tableColumn id="56" xr3:uid="{00000000-0010-0000-3D00-000038000000}" name="Column56"/>
    <tableColumn id="57" xr3:uid="{00000000-0010-0000-3D00-000039000000}" name="Column57"/>
    <tableColumn id="58" xr3:uid="{00000000-0010-0000-3D00-00003A000000}" name="Column58"/>
    <tableColumn id="59" xr3:uid="{00000000-0010-0000-3D00-00003B000000}" name="Column59"/>
    <tableColumn id="60" xr3:uid="{00000000-0010-0000-3D00-00003C000000}" name="Column60"/>
    <tableColumn id="61" xr3:uid="{00000000-0010-0000-3D00-00003D000000}" name="Column61"/>
    <tableColumn id="62" xr3:uid="{00000000-0010-0000-3D00-00003E000000}" name="Column62"/>
    <tableColumn id="63" xr3:uid="{00000000-0010-0000-3D00-00003F000000}" name="Column63"/>
    <tableColumn id="64" xr3:uid="{00000000-0010-0000-3D00-000040000000}" name="Column64"/>
    <tableColumn id="65" xr3:uid="{00000000-0010-0000-3D00-000041000000}" name="Column65"/>
    <tableColumn id="66" xr3:uid="{00000000-0010-0000-3D00-000042000000}" name="Column66"/>
    <tableColumn id="67" xr3:uid="{00000000-0010-0000-3D00-000043000000}" name="Column67"/>
    <tableColumn id="68" xr3:uid="{00000000-0010-0000-3D00-000044000000}" name="Column68"/>
    <tableColumn id="69" xr3:uid="{00000000-0010-0000-3D00-000045000000}" name="Column69"/>
    <tableColumn id="70" xr3:uid="{00000000-0010-0000-3D00-000046000000}" name="Column70"/>
    <tableColumn id="71" xr3:uid="{00000000-0010-0000-3D00-000047000000}" name="Column71"/>
    <tableColumn id="72" xr3:uid="{00000000-0010-0000-3D00-000048000000}" name="Column72"/>
    <tableColumn id="73" xr3:uid="{00000000-0010-0000-3D00-000049000000}" name="Column73"/>
    <tableColumn id="74" xr3:uid="{00000000-0010-0000-3D00-00004A000000}" name="Column74"/>
    <tableColumn id="75" xr3:uid="{00000000-0010-0000-3D00-00004B000000}" name="Column75"/>
    <tableColumn id="76" xr3:uid="{00000000-0010-0000-3D00-00004C000000}" name="Column76"/>
    <tableColumn id="77" xr3:uid="{00000000-0010-0000-3D00-00004D000000}" name="Column77"/>
    <tableColumn id="78" xr3:uid="{00000000-0010-0000-3D00-00004E000000}" name="Column78"/>
    <tableColumn id="79" xr3:uid="{00000000-0010-0000-3D00-00004F000000}" name="Column79"/>
    <tableColumn id="80" xr3:uid="{00000000-0010-0000-3D00-000050000000}" name="Column80"/>
    <tableColumn id="81" xr3:uid="{00000000-0010-0000-3D00-000051000000}" name="Column81"/>
    <tableColumn id="82" xr3:uid="{00000000-0010-0000-3D00-000052000000}" name="Column82"/>
    <tableColumn id="83" xr3:uid="{00000000-0010-0000-3D00-000053000000}" name="Column83"/>
    <tableColumn id="84" xr3:uid="{00000000-0010-0000-3D00-000054000000}" name="Column84"/>
    <tableColumn id="85" xr3:uid="{00000000-0010-0000-3D00-000055000000}" name="Column85"/>
    <tableColumn id="86" xr3:uid="{00000000-0010-0000-3D00-000056000000}" name="Column86"/>
    <tableColumn id="87" xr3:uid="{00000000-0010-0000-3D00-000057000000}" name="Column87"/>
    <tableColumn id="88" xr3:uid="{00000000-0010-0000-3D00-000058000000}" name="Column88"/>
    <tableColumn id="89" xr3:uid="{00000000-0010-0000-3D00-000059000000}" name="Column89"/>
    <tableColumn id="90" xr3:uid="{00000000-0010-0000-3D00-00005A000000}" name="Column90"/>
  </tableColumns>
  <tableStyleInfo name="DATA_MODEL-style 36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0000000-000C-0000-FFFF-FFFF3E000000}" name="Table_61" displayName="Table_61" ref="I43:CT43" headerRowCount="0">
  <tableColumns count="90">
    <tableColumn id="1" xr3:uid="{00000000-0010-0000-3E00-000001000000}" name="Column1"/>
    <tableColumn id="2" xr3:uid="{00000000-0010-0000-3E00-000002000000}" name="Column2"/>
    <tableColumn id="3" xr3:uid="{00000000-0010-0000-3E00-000003000000}" name="Column3"/>
    <tableColumn id="4" xr3:uid="{00000000-0010-0000-3E00-000004000000}" name="Column4"/>
    <tableColumn id="5" xr3:uid="{00000000-0010-0000-3E00-000005000000}" name="Column5"/>
    <tableColumn id="6" xr3:uid="{00000000-0010-0000-3E00-000006000000}" name="Column6"/>
    <tableColumn id="7" xr3:uid="{00000000-0010-0000-3E00-000007000000}" name="Column7"/>
    <tableColumn id="8" xr3:uid="{00000000-0010-0000-3E00-000008000000}" name="Column8"/>
    <tableColumn id="9" xr3:uid="{00000000-0010-0000-3E00-000009000000}" name="Column9"/>
    <tableColumn id="10" xr3:uid="{00000000-0010-0000-3E00-00000A000000}" name="Column10"/>
    <tableColumn id="11" xr3:uid="{00000000-0010-0000-3E00-00000B000000}" name="Column11"/>
    <tableColumn id="12" xr3:uid="{00000000-0010-0000-3E00-00000C000000}" name="Column12"/>
    <tableColumn id="13" xr3:uid="{00000000-0010-0000-3E00-00000D000000}" name="Column13"/>
    <tableColumn id="14" xr3:uid="{00000000-0010-0000-3E00-00000E000000}" name="Column14"/>
    <tableColumn id="15" xr3:uid="{00000000-0010-0000-3E00-00000F000000}" name="Column15"/>
    <tableColumn id="16" xr3:uid="{00000000-0010-0000-3E00-000010000000}" name="Column16"/>
    <tableColumn id="17" xr3:uid="{00000000-0010-0000-3E00-000011000000}" name="Column17"/>
    <tableColumn id="18" xr3:uid="{00000000-0010-0000-3E00-000012000000}" name="Column18"/>
    <tableColumn id="19" xr3:uid="{00000000-0010-0000-3E00-000013000000}" name="Column19"/>
    <tableColumn id="20" xr3:uid="{00000000-0010-0000-3E00-000014000000}" name="Column20"/>
    <tableColumn id="21" xr3:uid="{00000000-0010-0000-3E00-000015000000}" name="Column21"/>
    <tableColumn id="22" xr3:uid="{00000000-0010-0000-3E00-000016000000}" name="Column22"/>
    <tableColumn id="23" xr3:uid="{00000000-0010-0000-3E00-000017000000}" name="Column23"/>
    <tableColumn id="24" xr3:uid="{00000000-0010-0000-3E00-000018000000}" name="Column24"/>
    <tableColumn id="25" xr3:uid="{00000000-0010-0000-3E00-000019000000}" name="Column25"/>
    <tableColumn id="26" xr3:uid="{00000000-0010-0000-3E00-00001A000000}" name="Column26"/>
    <tableColumn id="27" xr3:uid="{00000000-0010-0000-3E00-00001B000000}" name="Column27"/>
    <tableColumn id="28" xr3:uid="{00000000-0010-0000-3E00-00001C000000}" name="Column28"/>
    <tableColumn id="29" xr3:uid="{00000000-0010-0000-3E00-00001D000000}" name="Column29"/>
    <tableColumn id="30" xr3:uid="{00000000-0010-0000-3E00-00001E000000}" name="Column30"/>
    <tableColumn id="31" xr3:uid="{00000000-0010-0000-3E00-00001F000000}" name="Column31"/>
    <tableColumn id="32" xr3:uid="{00000000-0010-0000-3E00-000020000000}" name="Column32"/>
    <tableColumn id="33" xr3:uid="{00000000-0010-0000-3E00-000021000000}" name="Column33"/>
    <tableColumn id="34" xr3:uid="{00000000-0010-0000-3E00-000022000000}" name="Column34"/>
    <tableColumn id="35" xr3:uid="{00000000-0010-0000-3E00-000023000000}" name="Column35"/>
    <tableColumn id="36" xr3:uid="{00000000-0010-0000-3E00-000024000000}" name="Column36"/>
    <tableColumn id="37" xr3:uid="{00000000-0010-0000-3E00-000025000000}" name="Column37"/>
    <tableColumn id="38" xr3:uid="{00000000-0010-0000-3E00-000026000000}" name="Column38"/>
    <tableColumn id="39" xr3:uid="{00000000-0010-0000-3E00-000027000000}" name="Column39"/>
    <tableColumn id="40" xr3:uid="{00000000-0010-0000-3E00-000028000000}" name="Column40"/>
    <tableColumn id="41" xr3:uid="{00000000-0010-0000-3E00-000029000000}" name="Column41"/>
    <tableColumn id="42" xr3:uid="{00000000-0010-0000-3E00-00002A000000}" name="Column42"/>
    <tableColumn id="43" xr3:uid="{00000000-0010-0000-3E00-00002B000000}" name="Column43"/>
    <tableColumn id="44" xr3:uid="{00000000-0010-0000-3E00-00002C000000}" name="Column44"/>
    <tableColumn id="45" xr3:uid="{00000000-0010-0000-3E00-00002D000000}" name="Column45"/>
    <tableColumn id="46" xr3:uid="{00000000-0010-0000-3E00-00002E000000}" name="Column46"/>
    <tableColumn id="47" xr3:uid="{00000000-0010-0000-3E00-00002F000000}" name="Column47"/>
    <tableColumn id="48" xr3:uid="{00000000-0010-0000-3E00-000030000000}" name="Column48"/>
    <tableColumn id="49" xr3:uid="{00000000-0010-0000-3E00-000031000000}" name="Column49"/>
    <tableColumn id="50" xr3:uid="{00000000-0010-0000-3E00-000032000000}" name="Column50"/>
    <tableColumn id="51" xr3:uid="{00000000-0010-0000-3E00-000033000000}" name="Column51"/>
    <tableColumn id="52" xr3:uid="{00000000-0010-0000-3E00-000034000000}" name="Column52"/>
    <tableColumn id="53" xr3:uid="{00000000-0010-0000-3E00-000035000000}" name="Column53"/>
    <tableColumn id="54" xr3:uid="{00000000-0010-0000-3E00-000036000000}" name="Column54"/>
    <tableColumn id="55" xr3:uid="{00000000-0010-0000-3E00-000037000000}" name="Column55"/>
    <tableColumn id="56" xr3:uid="{00000000-0010-0000-3E00-000038000000}" name="Column56"/>
    <tableColumn id="57" xr3:uid="{00000000-0010-0000-3E00-000039000000}" name="Column57"/>
    <tableColumn id="58" xr3:uid="{00000000-0010-0000-3E00-00003A000000}" name="Column58"/>
    <tableColumn id="59" xr3:uid="{00000000-0010-0000-3E00-00003B000000}" name="Column59"/>
    <tableColumn id="60" xr3:uid="{00000000-0010-0000-3E00-00003C000000}" name="Column60"/>
    <tableColumn id="61" xr3:uid="{00000000-0010-0000-3E00-00003D000000}" name="Column61"/>
    <tableColumn id="62" xr3:uid="{00000000-0010-0000-3E00-00003E000000}" name="Column62"/>
    <tableColumn id="63" xr3:uid="{00000000-0010-0000-3E00-00003F000000}" name="Column63"/>
    <tableColumn id="64" xr3:uid="{00000000-0010-0000-3E00-000040000000}" name="Column64"/>
    <tableColumn id="65" xr3:uid="{00000000-0010-0000-3E00-000041000000}" name="Column65"/>
    <tableColumn id="66" xr3:uid="{00000000-0010-0000-3E00-000042000000}" name="Column66"/>
    <tableColumn id="67" xr3:uid="{00000000-0010-0000-3E00-000043000000}" name="Column67"/>
    <tableColumn id="68" xr3:uid="{00000000-0010-0000-3E00-000044000000}" name="Column68"/>
    <tableColumn id="69" xr3:uid="{00000000-0010-0000-3E00-000045000000}" name="Column69"/>
    <tableColumn id="70" xr3:uid="{00000000-0010-0000-3E00-000046000000}" name="Column70"/>
    <tableColumn id="71" xr3:uid="{00000000-0010-0000-3E00-000047000000}" name="Column71"/>
    <tableColumn id="72" xr3:uid="{00000000-0010-0000-3E00-000048000000}" name="Column72"/>
    <tableColumn id="73" xr3:uid="{00000000-0010-0000-3E00-000049000000}" name="Column73"/>
    <tableColumn id="74" xr3:uid="{00000000-0010-0000-3E00-00004A000000}" name="Column74"/>
    <tableColumn id="75" xr3:uid="{00000000-0010-0000-3E00-00004B000000}" name="Column75"/>
    <tableColumn id="76" xr3:uid="{00000000-0010-0000-3E00-00004C000000}" name="Column76"/>
    <tableColumn id="77" xr3:uid="{00000000-0010-0000-3E00-00004D000000}" name="Column77"/>
    <tableColumn id="78" xr3:uid="{00000000-0010-0000-3E00-00004E000000}" name="Column78"/>
    <tableColumn id="79" xr3:uid="{00000000-0010-0000-3E00-00004F000000}" name="Column79"/>
    <tableColumn id="80" xr3:uid="{00000000-0010-0000-3E00-000050000000}" name="Column80"/>
    <tableColumn id="81" xr3:uid="{00000000-0010-0000-3E00-000051000000}" name="Column81"/>
    <tableColumn id="82" xr3:uid="{00000000-0010-0000-3E00-000052000000}" name="Column82"/>
    <tableColumn id="83" xr3:uid="{00000000-0010-0000-3E00-000053000000}" name="Column83"/>
    <tableColumn id="84" xr3:uid="{00000000-0010-0000-3E00-000054000000}" name="Column84"/>
    <tableColumn id="85" xr3:uid="{00000000-0010-0000-3E00-000055000000}" name="Column85"/>
    <tableColumn id="86" xr3:uid="{00000000-0010-0000-3E00-000056000000}" name="Column86"/>
    <tableColumn id="87" xr3:uid="{00000000-0010-0000-3E00-000057000000}" name="Column87"/>
    <tableColumn id="88" xr3:uid="{00000000-0010-0000-3E00-000058000000}" name="Column88"/>
    <tableColumn id="89" xr3:uid="{00000000-0010-0000-3E00-000059000000}" name="Column89"/>
    <tableColumn id="90" xr3:uid="{00000000-0010-0000-3E00-00005A000000}" name="Column90"/>
  </tableColumns>
  <tableStyleInfo name="DATA_MODEL-style 37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00000000-000C-0000-FFFF-FFFF3F000000}" name="Table_62" displayName="Table_62" ref="I50:CT50" headerRowCount="0">
  <tableColumns count="90">
    <tableColumn id="1" xr3:uid="{00000000-0010-0000-3F00-000001000000}" name="Column1"/>
    <tableColumn id="2" xr3:uid="{00000000-0010-0000-3F00-000002000000}" name="Column2"/>
    <tableColumn id="3" xr3:uid="{00000000-0010-0000-3F00-000003000000}" name="Column3"/>
    <tableColumn id="4" xr3:uid="{00000000-0010-0000-3F00-000004000000}" name="Column4"/>
    <tableColumn id="5" xr3:uid="{00000000-0010-0000-3F00-000005000000}" name="Column5"/>
    <tableColumn id="6" xr3:uid="{00000000-0010-0000-3F00-000006000000}" name="Column6"/>
    <tableColumn id="7" xr3:uid="{00000000-0010-0000-3F00-000007000000}" name="Column7"/>
    <tableColumn id="8" xr3:uid="{00000000-0010-0000-3F00-000008000000}" name="Column8"/>
    <tableColumn id="9" xr3:uid="{00000000-0010-0000-3F00-000009000000}" name="Column9"/>
    <tableColumn id="10" xr3:uid="{00000000-0010-0000-3F00-00000A000000}" name="Column10"/>
    <tableColumn id="11" xr3:uid="{00000000-0010-0000-3F00-00000B000000}" name="Column11"/>
    <tableColumn id="12" xr3:uid="{00000000-0010-0000-3F00-00000C000000}" name="Column12"/>
    <tableColumn id="13" xr3:uid="{00000000-0010-0000-3F00-00000D000000}" name="Column13"/>
    <tableColumn id="14" xr3:uid="{00000000-0010-0000-3F00-00000E000000}" name="Column14"/>
    <tableColumn id="15" xr3:uid="{00000000-0010-0000-3F00-00000F000000}" name="Column15"/>
    <tableColumn id="16" xr3:uid="{00000000-0010-0000-3F00-000010000000}" name="Column16"/>
    <tableColumn id="17" xr3:uid="{00000000-0010-0000-3F00-000011000000}" name="Column17"/>
    <tableColumn id="18" xr3:uid="{00000000-0010-0000-3F00-000012000000}" name="Column18"/>
    <tableColumn id="19" xr3:uid="{00000000-0010-0000-3F00-000013000000}" name="Column19"/>
    <tableColumn id="20" xr3:uid="{00000000-0010-0000-3F00-000014000000}" name="Column20"/>
    <tableColumn id="21" xr3:uid="{00000000-0010-0000-3F00-000015000000}" name="Column21"/>
    <tableColumn id="22" xr3:uid="{00000000-0010-0000-3F00-000016000000}" name="Column22"/>
    <tableColumn id="23" xr3:uid="{00000000-0010-0000-3F00-000017000000}" name="Column23"/>
    <tableColumn id="24" xr3:uid="{00000000-0010-0000-3F00-000018000000}" name="Column24"/>
    <tableColumn id="25" xr3:uid="{00000000-0010-0000-3F00-000019000000}" name="Column25"/>
    <tableColumn id="26" xr3:uid="{00000000-0010-0000-3F00-00001A000000}" name="Column26"/>
    <tableColumn id="27" xr3:uid="{00000000-0010-0000-3F00-00001B000000}" name="Column27"/>
    <tableColumn id="28" xr3:uid="{00000000-0010-0000-3F00-00001C000000}" name="Column28"/>
    <tableColumn id="29" xr3:uid="{00000000-0010-0000-3F00-00001D000000}" name="Column29"/>
    <tableColumn id="30" xr3:uid="{00000000-0010-0000-3F00-00001E000000}" name="Column30"/>
    <tableColumn id="31" xr3:uid="{00000000-0010-0000-3F00-00001F000000}" name="Column31"/>
    <tableColumn id="32" xr3:uid="{00000000-0010-0000-3F00-000020000000}" name="Column32"/>
    <tableColumn id="33" xr3:uid="{00000000-0010-0000-3F00-000021000000}" name="Column33"/>
    <tableColumn id="34" xr3:uid="{00000000-0010-0000-3F00-000022000000}" name="Column34"/>
    <tableColumn id="35" xr3:uid="{00000000-0010-0000-3F00-000023000000}" name="Column35"/>
    <tableColumn id="36" xr3:uid="{00000000-0010-0000-3F00-000024000000}" name="Column36"/>
    <tableColumn id="37" xr3:uid="{00000000-0010-0000-3F00-000025000000}" name="Column37"/>
    <tableColumn id="38" xr3:uid="{00000000-0010-0000-3F00-000026000000}" name="Column38"/>
    <tableColumn id="39" xr3:uid="{00000000-0010-0000-3F00-000027000000}" name="Column39"/>
    <tableColumn id="40" xr3:uid="{00000000-0010-0000-3F00-000028000000}" name="Column40"/>
    <tableColumn id="41" xr3:uid="{00000000-0010-0000-3F00-000029000000}" name="Column41"/>
    <tableColumn id="42" xr3:uid="{00000000-0010-0000-3F00-00002A000000}" name="Column42"/>
    <tableColumn id="43" xr3:uid="{00000000-0010-0000-3F00-00002B000000}" name="Column43"/>
    <tableColumn id="44" xr3:uid="{00000000-0010-0000-3F00-00002C000000}" name="Column44"/>
    <tableColumn id="45" xr3:uid="{00000000-0010-0000-3F00-00002D000000}" name="Column45"/>
    <tableColumn id="46" xr3:uid="{00000000-0010-0000-3F00-00002E000000}" name="Column46"/>
    <tableColumn id="47" xr3:uid="{00000000-0010-0000-3F00-00002F000000}" name="Column47"/>
    <tableColumn id="48" xr3:uid="{00000000-0010-0000-3F00-000030000000}" name="Column48"/>
    <tableColumn id="49" xr3:uid="{00000000-0010-0000-3F00-000031000000}" name="Column49"/>
    <tableColumn id="50" xr3:uid="{00000000-0010-0000-3F00-000032000000}" name="Column50"/>
    <tableColumn id="51" xr3:uid="{00000000-0010-0000-3F00-000033000000}" name="Column51"/>
    <tableColumn id="52" xr3:uid="{00000000-0010-0000-3F00-000034000000}" name="Column52"/>
    <tableColumn id="53" xr3:uid="{00000000-0010-0000-3F00-000035000000}" name="Column53"/>
    <tableColumn id="54" xr3:uid="{00000000-0010-0000-3F00-000036000000}" name="Column54"/>
    <tableColumn id="55" xr3:uid="{00000000-0010-0000-3F00-000037000000}" name="Column55"/>
    <tableColumn id="56" xr3:uid="{00000000-0010-0000-3F00-000038000000}" name="Column56"/>
    <tableColumn id="57" xr3:uid="{00000000-0010-0000-3F00-000039000000}" name="Column57"/>
    <tableColumn id="58" xr3:uid="{00000000-0010-0000-3F00-00003A000000}" name="Column58"/>
    <tableColumn id="59" xr3:uid="{00000000-0010-0000-3F00-00003B000000}" name="Column59"/>
    <tableColumn id="60" xr3:uid="{00000000-0010-0000-3F00-00003C000000}" name="Column60"/>
    <tableColumn id="61" xr3:uid="{00000000-0010-0000-3F00-00003D000000}" name="Column61"/>
    <tableColumn id="62" xr3:uid="{00000000-0010-0000-3F00-00003E000000}" name="Column62"/>
    <tableColumn id="63" xr3:uid="{00000000-0010-0000-3F00-00003F000000}" name="Column63"/>
    <tableColumn id="64" xr3:uid="{00000000-0010-0000-3F00-000040000000}" name="Column64"/>
    <tableColumn id="65" xr3:uid="{00000000-0010-0000-3F00-000041000000}" name="Column65"/>
    <tableColumn id="66" xr3:uid="{00000000-0010-0000-3F00-000042000000}" name="Column66"/>
    <tableColumn id="67" xr3:uid="{00000000-0010-0000-3F00-000043000000}" name="Column67"/>
    <tableColumn id="68" xr3:uid="{00000000-0010-0000-3F00-000044000000}" name="Column68"/>
    <tableColumn id="69" xr3:uid="{00000000-0010-0000-3F00-000045000000}" name="Column69"/>
    <tableColumn id="70" xr3:uid="{00000000-0010-0000-3F00-000046000000}" name="Column70"/>
    <tableColumn id="71" xr3:uid="{00000000-0010-0000-3F00-000047000000}" name="Column71"/>
    <tableColumn id="72" xr3:uid="{00000000-0010-0000-3F00-000048000000}" name="Column72"/>
    <tableColumn id="73" xr3:uid="{00000000-0010-0000-3F00-000049000000}" name="Column73"/>
    <tableColumn id="74" xr3:uid="{00000000-0010-0000-3F00-00004A000000}" name="Column74"/>
    <tableColumn id="75" xr3:uid="{00000000-0010-0000-3F00-00004B000000}" name="Column75"/>
    <tableColumn id="76" xr3:uid="{00000000-0010-0000-3F00-00004C000000}" name="Column76"/>
    <tableColumn id="77" xr3:uid="{00000000-0010-0000-3F00-00004D000000}" name="Column77"/>
    <tableColumn id="78" xr3:uid="{00000000-0010-0000-3F00-00004E000000}" name="Column78"/>
    <tableColumn id="79" xr3:uid="{00000000-0010-0000-3F00-00004F000000}" name="Column79"/>
    <tableColumn id="80" xr3:uid="{00000000-0010-0000-3F00-000050000000}" name="Column80"/>
    <tableColumn id="81" xr3:uid="{00000000-0010-0000-3F00-000051000000}" name="Column81"/>
    <tableColumn id="82" xr3:uid="{00000000-0010-0000-3F00-000052000000}" name="Column82"/>
    <tableColumn id="83" xr3:uid="{00000000-0010-0000-3F00-000053000000}" name="Column83"/>
    <tableColumn id="84" xr3:uid="{00000000-0010-0000-3F00-000054000000}" name="Column84"/>
    <tableColumn id="85" xr3:uid="{00000000-0010-0000-3F00-000055000000}" name="Column85"/>
    <tableColumn id="86" xr3:uid="{00000000-0010-0000-3F00-000056000000}" name="Column86"/>
    <tableColumn id="87" xr3:uid="{00000000-0010-0000-3F00-000057000000}" name="Column87"/>
    <tableColumn id="88" xr3:uid="{00000000-0010-0000-3F00-000058000000}" name="Column88"/>
    <tableColumn id="89" xr3:uid="{00000000-0010-0000-3F00-000059000000}" name="Column89"/>
    <tableColumn id="90" xr3:uid="{00000000-0010-0000-3F00-00005A000000}" name="Column90"/>
  </tableColumns>
  <tableStyleInfo name="DATA_MODEL-style 38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00000000-000C-0000-FFFF-FFFF40000000}" name="Table_63" displayName="Table_63" ref="I57:CT57" headerRowCount="0">
  <tableColumns count="90">
    <tableColumn id="1" xr3:uid="{00000000-0010-0000-4000-000001000000}" name="Column1"/>
    <tableColumn id="2" xr3:uid="{00000000-0010-0000-4000-000002000000}" name="Column2"/>
    <tableColumn id="3" xr3:uid="{00000000-0010-0000-4000-000003000000}" name="Column3"/>
    <tableColumn id="4" xr3:uid="{00000000-0010-0000-4000-000004000000}" name="Column4"/>
    <tableColumn id="5" xr3:uid="{00000000-0010-0000-4000-000005000000}" name="Column5"/>
    <tableColumn id="6" xr3:uid="{00000000-0010-0000-4000-000006000000}" name="Column6"/>
    <tableColumn id="7" xr3:uid="{00000000-0010-0000-4000-000007000000}" name="Column7"/>
    <tableColumn id="8" xr3:uid="{00000000-0010-0000-4000-000008000000}" name="Column8"/>
    <tableColumn id="9" xr3:uid="{00000000-0010-0000-4000-000009000000}" name="Column9"/>
    <tableColumn id="10" xr3:uid="{00000000-0010-0000-4000-00000A000000}" name="Column10"/>
    <tableColumn id="11" xr3:uid="{00000000-0010-0000-4000-00000B000000}" name="Column11"/>
    <tableColumn id="12" xr3:uid="{00000000-0010-0000-4000-00000C000000}" name="Column12"/>
    <tableColumn id="13" xr3:uid="{00000000-0010-0000-4000-00000D000000}" name="Column13"/>
    <tableColumn id="14" xr3:uid="{00000000-0010-0000-4000-00000E000000}" name="Column14"/>
    <tableColumn id="15" xr3:uid="{00000000-0010-0000-4000-00000F000000}" name="Column15"/>
    <tableColumn id="16" xr3:uid="{00000000-0010-0000-4000-000010000000}" name="Column16"/>
    <tableColumn id="17" xr3:uid="{00000000-0010-0000-4000-000011000000}" name="Column17"/>
    <tableColumn id="18" xr3:uid="{00000000-0010-0000-4000-000012000000}" name="Column18"/>
    <tableColumn id="19" xr3:uid="{00000000-0010-0000-4000-000013000000}" name="Column19"/>
    <tableColumn id="20" xr3:uid="{00000000-0010-0000-4000-000014000000}" name="Column20"/>
    <tableColumn id="21" xr3:uid="{00000000-0010-0000-4000-000015000000}" name="Column21"/>
    <tableColumn id="22" xr3:uid="{00000000-0010-0000-4000-000016000000}" name="Column22"/>
    <tableColumn id="23" xr3:uid="{00000000-0010-0000-4000-000017000000}" name="Column23"/>
    <tableColumn id="24" xr3:uid="{00000000-0010-0000-4000-000018000000}" name="Column24"/>
    <tableColumn id="25" xr3:uid="{00000000-0010-0000-4000-000019000000}" name="Column25"/>
    <tableColumn id="26" xr3:uid="{00000000-0010-0000-4000-00001A000000}" name="Column26"/>
    <tableColumn id="27" xr3:uid="{00000000-0010-0000-4000-00001B000000}" name="Column27"/>
    <tableColumn id="28" xr3:uid="{00000000-0010-0000-4000-00001C000000}" name="Column28"/>
    <tableColumn id="29" xr3:uid="{00000000-0010-0000-4000-00001D000000}" name="Column29"/>
    <tableColumn id="30" xr3:uid="{00000000-0010-0000-4000-00001E000000}" name="Column30"/>
    <tableColumn id="31" xr3:uid="{00000000-0010-0000-4000-00001F000000}" name="Column31"/>
    <tableColumn id="32" xr3:uid="{00000000-0010-0000-4000-000020000000}" name="Column32"/>
    <tableColumn id="33" xr3:uid="{00000000-0010-0000-4000-000021000000}" name="Column33"/>
    <tableColumn id="34" xr3:uid="{00000000-0010-0000-4000-000022000000}" name="Column34"/>
    <tableColumn id="35" xr3:uid="{00000000-0010-0000-4000-000023000000}" name="Column35"/>
    <tableColumn id="36" xr3:uid="{00000000-0010-0000-4000-000024000000}" name="Column36"/>
    <tableColumn id="37" xr3:uid="{00000000-0010-0000-4000-000025000000}" name="Column37"/>
    <tableColumn id="38" xr3:uid="{00000000-0010-0000-4000-000026000000}" name="Column38"/>
    <tableColumn id="39" xr3:uid="{00000000-0010-0000-4000-000027000000}" name="Column39"/>
    <tableColumn id="40" xr3:uid="{00000000-0010-0000-4000-000028000000}" name="Column40"/>
    <tableColumn id="41" xr3:uid="{00000000-0010-0000-4000-000029000000}" name="Column41"/>
    <tableColumn id="42" xr3:uid="{00000000-0010-0000-4000-00002A000000}" name="Column42"/>
    <tableColumn id="43" xr3:uid="{00000000-0010-0000-4000-00002B000000}" name="Column43"/>
    <tableColumn id="44" xr3:uid="{00000000-0010-0000-4000-00002C000000}" name="Column44"/>
    <tableColumn id="45" xr3:uid="{00000000-0010-0000-4000-00002D000000}" name="Column45"/>
    <tableColumn id="46" xr3:uid="{00000000-0010-0000-4000-00002E000000}" name="Column46"/>
    <tableColumn id="47" xr3:uid="{00000000-0010-0000-4000-00002F000000}" name="Column47"/>
    <tableColumn id="48" xr3:uid="{00000000-0010-0000-4000-000030000000}" name="Column48"/>
    <tableColumn id="49" xr3:uid="{00000000-0010-0000-4000-000031000000}" name="Column49"/>
    <tableColumn id="50" xr3:uid="{00000000-0010-0000-4000-000032000000}" name="Column50"/>
    <tableColumn id="51" xr3:uid="{00000000-0010-0000-4000-000033000000}" name="Column51"/>
    <tableColumn id="52" xr3:uid="{00000000-0010-0000-4000-000034000000}" name="Column52"/>
    <tableColumn id="53" xr3:uid="{00000000-0010-0000-4000-000035000000}" name="Column53"/>
    <tableColumn id="54" xr3:uid="{00000000-0010-0000-4000-000036000000}" name="Column54"/>
    <tableColumn id="55" xr3:uid="{00000000-0010-0000-4000-000037000000}" name="Column55"/>
    <tableColumn id="56" xr3:uid="{00000000-0010-0000-4000-000038000000}" name="Column56"/>
    <tableColumn id="57" xr3:uid="{00000000-0010-0000-4000-000039000000}" name="Column57"/>
    <tableColumn id="58" xr3:uid="{00000000-0010-0000-4000-00003A000000}" name="Column58"/>
    <tableColumn id="59" xr3:uid="{00000000-0010-0000-4000-00003B000000}" name="Column59"/>
    <tableColumn id="60" xr3:uid="{00000000-0010-0000-4000-00003C000000}" name="Column60"/>
    <tableColumn id="61" xr3:uid="{00000000-0010-0000-4000-00003D000000}" name="Column61"/>
    <tableColumn id="62" xr3:uid="{00000000-0010-0000-4000-00003E000000}" name="Column62"/>
    <tableColumn id="63" xr3:uid="{00000000-0010-0000-4000-00003F000000}" name="Column63"/>
    <tableColumn id="64" xr3:uid="{00000000-0010-0000-4000-000040000000}" name="Column64"/>
    <tableColumn id="65" xr3:uid="{00000000-0010-0000-4000-000041000000}" name="Column65"/>
    <tableColumn id="66" xr3:uid="{00000000-0010-0000-4000-000042000000}" name="Column66"/>
    <tableColumn id="67" xr3:uid="{00000000-0010-0000-4000-000043000000}" name="Column67"/>
    <tableColumn id="68" xr3:uid="{00000000-0010-0000-4000-000044000000}" name="Column68"/>
    <tableColumn id="69" xr3:uid="{00000000-0010-0000-4000-000045000000}" name="Column69"/>
    <tableColumn id="70" xr3:uid="{00000000-0010-0000-4000-000046000000}" name="Column70"/>
    <tableColumn id="71" xr3:uid="{00000000-0010-0000-4000-000047000000}" name="Column71"/>
    <tableColumn id="72" xr3:uid="{00000000-0010-0000-4000-000048000000}" name="Column72"/>
    <tableColumn id="73" xr3:uid="{00000000-0010-0000-4000-000049000000}" name="Column73"/>
    <tableColumn id="74" xr3:uid="{00000000-0010-0000-4000-00004A000000}" name="Column74"/>
    <tableColumn id="75" xr3:uid="{00000000-0010-0000-4000-00004B000000}" name="Column75"/>
    <tableColumn id="76" xr3:uid="{00000000-0010-0000-4000-00004C000000}" name="Column76"/>
    <tableColumn id="77" xr3:uid="{00000000-0010-0000-4000-00004D000000}" name="Column77"/>
    <tableColumn id="78" xr3:uid="{00000000-0010-0000-4000-00004E000000}" name="Column78"/>
    <tableColumn id="79" xr3:uid="{00000000-0010-0000-4000-00004F000000}" name="Column79"/>
    <tableColumn id="80" xr3:uid="{00000000-0010-0000-4000-000050000000}" name="Column80"/>
    <tableColumn id="81" xr3:uid="{00000000-0010-0000-4000-000051000000}" name="Column81"/>
    <tableColumn id="82" xr3:uid="{00000000-0010-0000-4000-000052000000}" name="Column82"/>
    <tableColumn id="83" xr3:uid="{00000000-0010-0000-4000-000053000000}" name="Column83"/>
    <tableColumn id="84" xr3:uid="{00000000-0010-0000-4000-000054000000}" name="Column84"/>
    <tableColumn id="85" xr3:uid="{00000000-0010-0000-4000-000055000000}" name="Column85"/>
    <tableColumn id="86" xr3:uid="{00000000-0010-0000-4000-000056000000}" name="Column86"/>
    <tableColumn id="87" xr3:uid="{00000000-0010-0000-4000-000057000000}" name="Column87"/>
    <tableColumn id="88" xr3:uid="{00000000-0010-0000-4000-000058000000}" name="Column88"/>
    <tableColumn id="89" xr3:uid="{00000000-0010-0000-4000-000059000000}" name="Column89"/>
    <tableColumn id="90" xr3:uid="{00000000-0010-0000-4000-00005A000000}" name="Column90"/>
  </tableColumns>
  <tableStyleInfo name="DATA_MODEL-style 39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0000000-000C-0000-FFFF-FFFF41000000}" name="Table_64" displayName="Table_64" ref="I58:CT58" headerRowCount="0">
  <tableColumns count="90">
    <tableColumn id="1" xr3:uid="{00000000-0010-0000-4100-000001000000}" name="Column1"/>
    <tableColumn id="2" xr3:uid="{00000000-0010-0000-4100-000002000000}" name="Column2"/>
    <tableColumn id="3" xr3:uid="{00000000-0010-0000-4100-000003000000}" name="Column3"/>
    <tableColumn id="4" xr3:uid="{00000000-0010-0000-4100-000004000000}" name="Column4"/>
    <tableColumn id="5" xr3:uid="{00000000-0010-0000-4100-000005000000}" name="Column5"/>
    <tableColumn id="6" xr3:uid="{00000000-0010-0000-4100-000006000000}" name="Column6"/>
    <tableColumn id="7" xr3:uid="{00000000-0010-0000-4100-000007000000}" name="Column7"/>
    <tableColumn id="8" xr3:uid="{00000000-0010-0000-4100-000008000000}" name="Column8"/>
    <tableColumn id="9" xr3:uid="{00000000-0010-0000-4100-000009000000}" name="Column9"/>
    <tableColumn id="10" xr3:uid="{00000000-0010-0000-4100-00000A000000}" name="Column10"/>
    <tableColumn id="11" xr3:uid="{00000000-0010-0000-4100-00000B000000}" name="Column11"/>
    <tableColumn id="12" xr3:uid="{00000000-0010-0000-4100-00000C000000}" name="Column12"/>
    <tableColumn id="13" xr3:uid="{00000000-0010-0000-4100-00000D000000}" name="Column13"/>
    <tableColumn id="14" xr3:uid="{00000000-0010-0000-4100-00000E000000}" name="Column14"/>
    <tableColumn id="15" xr3:uid="{00000000-0010-0000-4100-00000F000000}" name="Column15"/>
    <tableColumn id="16" xr3:uid="{00000000-0010-0000-4100-000010000000}" name="Column16"/>
    <tableColumn id="17" xr3:uid="{00000000-0010-0000-4100-000011000000}" name="Column17"/>
    <tableColumn id="18" xr3:uid="{00000000-0010-0000-4100-000012000000}" name="Column18"/>
    <tableColumn id="19" xr3:uid="{00000000-0010-0000-4100-000013000000}" name="Column19"/>
    <tableColumn id="20" xr3:uid="{00000000-0010-0000-4100-000014000000}" name="Column20"/>
    <tableColumn id="21" xr3:uid="{00000000-0010-0000-4100-000015000000}" name="Column21"/>
    <tableColumn id="22" xr3:uid="{00000000-0010-0000-4100-000016000000}" name="Column22"/>
    <tableColumn id="23" xr3:uid="{00000000-0010-0000-4100-000017000000}" name="Column23"/>
    <tableColumn id="24" xr3:uid="{00000000-0010-0000-4100-000018000000}" name="Column24"/>
    <tableColumn id="25" xr3:uid="{00000000-0010-0000-4100-000019000000}" name="Column25"/>
    <tableColumn id="26" xr3:uid="{00000000-0010-0000-4100-00001A000000}" name="Column26"/>
    <tableColumn id="27" xr3:uid="{00000000-0010-0000-4100-00001B000000}" name="Column27"/>
    <tableColumn id="28" xr3:uid="{00000000-0010-0000-4100-00001C000000}" name="Column28"/>
    <tableColumn id="29" xr3:uid="{00000000-0010-0000-4100-00001D000000}" name="Column29"/>
    <tableColumn id="30" xr3:uid="{00000000-0010-0000-4100-00001E000000}" name="Column30"/>
    <tableColumn id="31" xr3:uid="{00000000-0010-0000-4100-00001F000000}" name="Column31"/>
    <tableColumn id="32" xr3:uid="{00000000-0010-0000-4100-000020000000}" name="Column32"/>
    <tableColumn id="33" xr3:uid="{00000000-0010-0000-4100-000021000000}" name="Column33"/>
    <tableColumn id="34" xr3:uid="{00000000-0010-0000-4100-000022000000}" name="Column34"/>
    <tableColumn id="35" xr3:uid="{00000000-0010-0000-4100-000023000000}" name="Column35"/>
    <tableColumn id="36" xr3:uid="{00000000-0010-0000-4100-000024000000}" name="Column36"/>
    <tableColumn id="37" xr3:uid="{00000000-0010-0000-4100-000025000000}" name="Column37"/>
    <tableColumn id="38" xr3:uid="{00000000-0010-0000-4100-000026000000}" name="Column38"/>
    <tableColumn id="39" xr3:uid="{00000000-0010-0000-4100-000027000000}" name="Column39"/>
    <tableColumn id="40" xr3:uid="{00000000-0010-0000-4100-000028000000}" name="Column40"/>
    <tableColumn id="41" xr3:uid="{00000000-0010-0000-4100-000029000000}" name="Column41"/>
    <tableColumn id="42" xr3:uid="{00000000-0010-0000-4100-00002A000000}" name="Column42"/>
    <tableColumn id="43" xr3:uid="{00000000-0010-0000-4100-00002B000000}" name="Column43"/>
    <tableColumn id="44" xr3:uid="{00000000-0010-0000-4100-00002C000000}" name="Column44"/>
    <tableColumn id="45" xr3:uid="{00000000-0010-0000-4100-00002D000000}" name="Column45"/>
    <tableColumn id="46" xr3:uid="{00000000-0010-0000-4100-00002E000000}" name="Column46"/>
    <tableColumn id="47" xr3:uid="{00000000-0010-0000-4100-00002F000000}" name="Column47"/>
    <tableColumn id="48" xr3:uid="{00000000-0010-0000-4100-000030000000}" name="Column48"/>
    <tableColumn id="49" xr3:uid="{00000000-0010-0000-4100-000031000000}" name="Column49"/>
    <tableColumn id="50" xr3:uid="{00000000-0010-0000-4100-000032000000}" name="Column50"/>
    <tableColumn id="51" xr3:uid="{00000000-0010-0000-4100-000033000000}" name="Column51"/>
    <tableColumn id="52" xr3:uid="{00000000-0010-0000-4100-000034000000}" name="Column52"/>
    <tableColumn id="53" xr3:uid="{00000000-0010-0000-4100-000035000000}" name="Column53"/>
    <tableColumn id="54" xr3:uid="{00000000-0010-0000-4100-000036000000}" name="Column54"/>
    <tableColumn id="55" xr3:uid="{00000000-0010-0000-4100-000037000000}" name="Column55"/>
    <tableColumn id="56" xr3:uid="{00000000-0010-0000-4100-000038000000}" name="Column56"/>
    <tableColumn id="57" xr3:uid="{00000000-0010-0000-4100-000039000000}" name="Column57"/>
    <tableColumn id="58" xr3:uid="{00000000-0010-0000-4100-00003A000000}" name="Column58"/>
    <tableColumn id="59" xr3:uid="{00000000-0010-0000-4100-00003B000000}" name="Column59"/>
    <tableColumn id="60" xr3:uid="{00000000-0010-0000-4100-00003C000000}" name="Column60"/>
    <tableColumn id="61" xr3:uid="{00000000-0010-0000-4100-00003D000000}" name="Column61"/>
    <tableColumn id="62" xr3:uid="{00000000-0010-0000-4100-00003E000000}" name="Column62"/>
    <tableColumn id="63" xr3:uid="{00000000-0010-0000-4100-00003F000000}" name="Column63"/>
    <tableColumn id="64" xr3:uid="{00000000-0010-0000-4100-000040000000}" name="Column64"/>
    <tableColumn id="65" xr3:uid="{00000000-0010-0000-4100-000041000000}" name="Column65"/>
    <tableColumn id="66" xr3:uid="{00000000-0010-0000-4100-000042000000}" name="Column66"/>
    <tableColumn id="67" xr3:uid="{00000000-0010-0000-4100-000043000000}" name="Column67"/>
    <tableColumn id="68" xr3:uid="{00000000-0010-0000-4100-000044000000}" name="Column68"/>
    <tableColumn id="69" xr3:uid="{00000000-0010-0000-4100-000045000000}" name="Column69"/>
    <tableColumn id="70" xr3:uid="{00000000-0010-0000-4100-000046000000}" name="Column70"/>
    <tableColumn id="71" xr3:uid="{00000000-0010-0000-4100-000047000000}" name="Column71"/>
    <tableColumn id="72" xr3:uid="{00000000-0010-0000-4100-000048000000}" name="Column72"/>
    <tableColumn id="73" xr3:uid="{00000000-0010-0000-4100-000049000000}" name="Column73"/>
    <tableColumn id="74" xr3:uid="{00000000-0010-0000-4100-00004A000000}" name="Column74"/>
    <tableColumn id="75" xr3:uid="{00000000-0010-0000-4100-00004B000000}" name="Column75"/>
    <tableColumn id="76" xr3:uid="{00000000-0010-0000-4100-00004C000000}" name="Column76"/>
    <tableColumn id="77" xr3:uid="{00000000-0010-0000-4100-00004D000000}" name="Column77"/>
    <tableColumn id="78" xr3:uid="{00000000-0010-0000-4100-00004E000000}" name="Column78"/>
    <tableColumn id="79" xr3:uid="{00000000-0010-0000-4100-00004F000000}" name="Column79"/>
    <tableColumn id="80" xr3:uid="{00000000-0010-0000-4100-000050000000}" name="Column80"/>
    <tableColumn id="81" xr3:uid="{00000000-0010-0000-4100-000051000000}" name="Column81"/>
    <tableColumn id="82" xr3:uid="{00000000-0010-0000-4100-000052000000}" name="Column82"/>
    <tableColumn id="83" xr3:uid="{00000000-0010-0000-4100-000053000000}" name="Column83"/>
    <tableColumn id="84" xr3:uid="{00000000-0010-0000-4100-000054000000}" name="Column84"/>
    <tableColumn id="85" xr3:uid="{00000000-0010-0000-4100-000055000000}" name="Column85"/>
    <tableColumn id="86" xr3:uid="{00000000-0010-0000-4100-000056000000}" name="Column86"/>
    <tableColumn id="87" xr3:uid="{00000000-0010-0000-4100-000057000000}" name="Column87"/>
    <tableColumn id="88" xr3:uid="{00000000-0010-0000-4100-000058000000}" name="Column88"/>
    <tableColumn id="89" xr3:uid="{00000000-0010-0000-4100-000059000000}" name="Column89"/>
    <tableColumn id="90" xr3:uid="{00000000-0010-0000-4100-00005A000000}" name="Column90"/>
  </tableColumns>
  <tableStyleInfo name="DATA_MODEL-style 40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00000000-000C-0000-FFFF-FFFF42000000}" name="Table_65" displayName="Table_65" ref="I59:CT60" headerRowCount="0">
  <tableColumns count="90">
    <tableColumn id="1" xr3:uid="{00000000-0010-0000-4200-000001000000}" name="Column1"/>
    <tableColumn id="2" xr3:uid="{00000000-0010-0000-4200-000002000000}" name="Column2"/>
    <tableColumn id="3" xr3:uid="{00000000-0010-0000-4200-000003000000}" name="Column3"/>
    <tableColumn id="4" xr3:uid="{00000000-0010-0000-4200-000004000000}" name="Column4"/>
    <tableColumn id="5" xr3:uid="{00000000-0010-0000-4200-000005000000}" name="Column5"/>
    <tableColumn id="6" xr3:uid="{00000000-0010-0000-4200-000006000000}" name="Column6"/>
    <tableColumn id="7" xr3:uid="{00000000-0010-0000-4200-000007000000}" name="Column7"/>
    <tableColumn id="8" xr3:uid="{00000000-0010-0000-4200-000008000000}" name="Column8"/>
    <tableColumn id="9" xr3:uid="{00000000-0010-0000-4200-000009000000}" name="Column9"/>
    <tableColumn id="10" xr3:uid="{00000000-0010-0000-4200-00000A000000}" name="Column10"/>
    <tableColumn id="11" xr3:uid="{00000000-0010-0000-4200-00000B000000}" name="Column11"/>
    <tableColumn id="12" xr3:uid="{00000000-0010-0000-4200-00000C000000}" name="Column12"/>
    <tableColumn id="13" xr3:uid="{00000000-0010-0000-4200-00000D000000}" name="Column13"/>
    <tableColumn id="14" xr3:uid="{00000000-0010-0000-4200-00000E000000}" name="Column14"/>
    <tableColumn id="15" xr3:uid="{00000000-0010-0000-4200-00000F000000}" name="Column15"/>
    <tableColumn id="16" xr3:uid="{00000000-0010-0000-4200-000010000000}" name="Column16"/>
    <tableColumn id="17" xr3:uid="{00000000-0010-0000-4200-000011000000}" name="Column17"/>
    <tableColumn id="18" xr3:uid="{00000000-0010-0000-4200-000012000000}" name="Column18"/>
    <tableColumn id="19" xr3:uid="{00000000-0010-0000-4200-000013000000}" name="Column19"/>
    <tableColumn id="20" xr3:uid="{00000000-0010-0000-4200-000014000000}" name="Column20"/>
    <tableColumn id="21" xr3:uid="{00000000-0010-0000-4200-000015000000}" name="Column21"/>
    <tableColumn id="22" xr3:uid="{00000000-0010-0000-4200-000016000000}" name="Column22"/>
    <tableColumn id="23" xr3:uid="{00000000-0010-0000-4200-000017000000}" name="Column23"/>
    <tableColumn id="24" xr3:uid="{00000000-0010-0000-4200-000018000000}" name="Column24"/>
    <tableColumn id="25" xr3:uid="{00000000-0010-0000-4200-000019000000}" name="Column25"/>
    <tableColumn id="26" xr3:uid="{00000000-0010-0000-4200-00001A000000}" name="Column26"/>
    <tableColumn id="27" xr3:uid="{00000000-0010-0000-4200-00001B000000}" name="Column27"/>
    <tableColumn id="28" xr3:uid="{00000000-0010-0000-4200-00001C000000}" name="Column28"/>
    <tableColumn id="29" xr3:uid="{00000000-0010-0000-4200-00001D000000}" name="Column29"/>
    <tableColumn id="30" xr3:uid="{00000000-0010-0000-4200-00001E000000}" name="Column30"/>
    <tableColumn id="31" xr3:uid="{00000000-0010-0000-4200-00001F000000}" name="Column31"/>
    <tableColumn id="32" xr3:uid="{00000000-0010-0000-4200-000020000000}" name="Column32"/>
    <tableColumn id="33" xr3:uid="{00000000-0010-0000-4200-000021000000}" name="Column33"/>
    <tableColumn id="34" xr3:uid="{00000000-0010-0000-4200-000022000000}" name="Column34"/>
    <tableColumn id="35" xr3:uid="{00000000-0010-0000-4200-000023000000}" name="Column35"/>
    <tableColumn id="36" xr3:uid="{00000000-0010-0000-4200-000024000000}" name="Column36"/>
    <tableColumn id="37" xr3:uid="{00000000-0010-0000-4200-000025000000}" name="Column37"/>
    <tableColumn id="38" xr3:uid="{00000000-0010-0000-4200-000026000000}" name="Column38"/>
    <tableColumn id="39" xr3:uid="{00000000-0010-0000-4200-000027000000}" name="Column39"/>
    <tableColumn id="40" xr3:uid="{00000000-0010-0000-4200-000028000000}" name="Column40"/>
    <tableColumn id="41" xr3:uid="{00000000-0010-0000-4200-000029000000}" name="Column41"/>
    <tableColumn id="42" xr3:uid="{00000000-0010-0000-4200-00002A000000}" name="Column42"/>
    <tableColumn id="43" xr3:uid="{00000000-0010-0000-4200-00002B000000}" name="Column43"/>
    <tableColumn id="44" xr3:uid="{00000000-0010-0000-4200-00002C000000}" name="Column44"/>
    <tableColumn id="45" xr3:uid="{00000000-0010-0000-4200-00002D000000}" name="Column45"/>
    <tableColumn id="46" xr3:uid="{00000000-0010-0000-4200-00002E000000}" name="Column46"/>
    <tableColumn id="47" xr3:uid="{00000000-0010-0000-4200-00002F000000}" name="Column47"/>
    <tableColumn id="48" xr3:uid="{00000000-0010-0000-4200-000030000000}" name="Column48"/>
    <tableColumn id="49" xr3:uid="{00000000-0010-0000-4200-000031000000}" name="Column49"/>
    <tableColumn id="50" xr3:uid="{00000000-0010-0000-4200-000032000000}" name="Column50"/>
    <tableColumn id="51" xr3:uid="{00000000-0010-0000-4200-000033000000}" name="Column51"/>
    <tableColumn id="52" xr3:uid="{00000000-0010-0000-4200-000034000000}" name="Column52"/>
    <tableColumn id="53" xr3:uid="{00000000-0010-0000-4200-000035000000}" name="Column53"/>
    <tableColumn id="54" xr3:uid="{00000000-0010-0000-4200-000036000000}" name="Column54"/>
    <tableColumn id="55" xr3:uid="{00000000-0010-0000-4200-000037000000}" name="Column55"/>
    <tableColumn id="56" xr3:uid="{00000000-0010-0000-4200-000038000000}" name="Column56"/>
    <tableColumn id="57" xr3:uid="{00000000-0010-0000-4200-000039000000}" name="Column57"/>
    <tableColumn id="58" xr3:uid="{00000000-0010-0000-4200-00003A000000}" name="Column58"/>
    <tableColumn id="59" xr3:uid="{00000000-0010-0000-4200-00003B000000}" name="Column59"/>
    <tableColumn id="60" xr3:uid="{00000000-0010-0000-4200-00003C000000}" name="Column60"/>
    <tableColumn id="61" xr3:uid="{00000000-0010-0000-4200-00003D000000}" name="Column61"/>
    <tableColumn id="62" xr3:uid="{00000000-0010-0000-4200-00003E000000}" name="Column62"/>
    <tableColumn id="63" xr3:uid="{00000000-0010-0000-4200-00003F000000}" name="Column63"/>
    <tableColumn id="64" xr3:uid="{00000000-0010-0000-4200-000040000000}" name="Column64"/>
    <tableColumn id="65" xr3:uid="{00000000-0010-0000-4200-000041000000}" name="Column65"/>
    <tableColumn id="66" xr3:uid="{00000000-0010-0000-4200-000042000000}" name="Column66"/>
    <tableColumn id="67" xr3:uid="{00000000-0010-0000-4200-000043000000}" name="Column67"/>
    <tableColumn id="68" xr3:uid="{00000000-0010-0000-4200-000044000000}" name="Column68"/>
    <tableColumn id="69" xr3:uid="{00000000-0010-0000-4200-000045000000}" name="Column69"/>
    <tableColumn id="70" xr3:uid="{00000000-0010-0000-4200-000046000000}" name="Column70"/>
    <tableColumn id="71" xr3:uid="{00000000-0010-0000-4200-000047000000}" name="Column71"/>
    <tableColumn id="72" xr3:uid="{00000000-0010-0000-4200-000048000000}" name="Column72"/>
    <tableColumn id="73" xr3:uid="{00000000-0010-0000-4200-000049000000}" name="Column73"/>
    <tableColumn id="74" xr3:uid="{00000000-0010-0000-4200-00004A000000}" name="Column74"/>
    <tableColumn id="75" xr3:uid="{00000000-0010-0000-4200-00004B000000}" name="Column75"/>
    <tableColumn id="76" xr3:uid="{00000000-0010-0000-4200-00004C000000}" name="Column76"/>
    <tableColumn id="77" xr3:uid="{00000000-0010-0000-4200-00004D000000}" name="Column77"/>
    <tableColumn id="78" xr3:uid="{00000000-0010-0000-4200-00004E000000}" name="Column78"/>
    <tableColumn id="79" xr3:uid="{00000000-0010-0000-4200-00004F000000}" name="Column79"/>
    <tableColumn id="80" xr3:uid="{00000000-0010-0000-4200-000050000000}" name="Column80"/>
    <tableColumn id="81" xr3:uid="{00000000-0010-0000-4200-000051000000}" name="Column81"/>
    <tableColumn id="82" xr3:uid="{00000000-0010-0000-4200-000052000000}" name="Column82"/>
    <tableColumn id="83" xr3:uid="{00000000-0010-0000-4200-000053000000}" name="Column83"/>
    <tableColumn id="84" xr3:uid="{00000000-0010-0000-4200-000054000000}" name="Column84"/>
    <tableColumn id="85" xr3:uid="{00000000-0010-0000-4200-000055000000}" name="Column85"/>
    <tableColumn id="86" xr3:uid="{00000000-0010-0000-4200-000056000000}" name="Column86"/>
    <tableColumn id="87" xr3:uid="{00000000-0010-0000-4200-000057000000}" name="Column87"/>
    <tableColumn id="88" xr3:uid="{00000000-0010-0000-4200-000058000000}" name="Column88"/>
    <tableColumn id="89" xr3:uid="{00000000-0010-0000-4200-000059000000}" name="Column89"/>
    <tableColumn id="90" xr3:uid="{00000000-0010-0000-4200-00005A000000}" name="Column90"/>
  </tableColumns>
  <tableStyleInfo name="DATA_MODEL-style 41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00000000-000C-0000-FFFF-FFFF43000000}" name="Table_66" displayName="Table_66" ref="I61:CT61" headerRowCount="0">
  <tableColumns count="90">
    <tableColumn id="1" xr3:uid="{00000000-0010-0000-4300-000001000000}" name="Column1"/>
    <tableColumn id="2" xr3:uid="{00000000-0010-0000-4300-000002000000}" name="Column2"/>
    <tableColumn id="3" xr3:uid="{00000000-0010-0000-4300-000003000000}" name="Column3"/>
    <tableColumn id="4" xr3:uid="{00000000-0010-0000-4300-000004000000}" name="Column4"/>
    <tableColumn id="5" xr3:uid="{00000000-0010-0000-4300-000005000000}" name="Column5"/>
    <tableColumn id="6" xr3:uid="{00000000-0010-0000-4300-000006000000}" name="Column6"/>
    <tableColumn id="7" xr3:uid="{00000000-0010-0000-4300-000007000000}" name="Column7"/>
    <tableColumn id="8" xr3:uid="{00000000-0010-0000-4300-000008000000}" name="Column8"/>
    <tableColumn id="9" xr3:uid="{00000000-0010-0000-4300-000009000000}" name="Column9"/>
    <tableColumn id="10" xr3:uid="{00000000-0010-0000-4300-00000A000000}" name="Column10"/>
    <tableColumn id="11" xr3:uid="{00000000-0010-0000-4300-00000B000000}" name="Column11"/>
    <tableColumn id="12" xr3:uid="{00000000-0010-0000-4300-00000C000000}" name="Column12"/>
    <tableColumn id="13" xr3:uid="{00000000-0010-0000-4300-00000D000000}" name="Column13"/>
    <tableColumn id="14" xr3:uid="{00000000-0010-0000-4300-00000E000000}" name="Column14"/>
    <tableColumn id="15" xr3:uid="{00000000-0010-0000-4300-00000F000000}" name="Column15"/>
    <tableColumn id="16" xr3:uid="{00000000-0010-0000-4300-000010000000}" name="Column16"/>
    <tableColumn id="17" xr3:uid="{00000000-0010-0000-4300-000011000000}" name="Column17"/>
    <tableColumn id="18" xr3:uid="{00000000-0010-0000-4300-000012000000}" name="Column18"/>
    <tableColumn id="19" xr3:uid="{00000000-0010-0000-4300-000013000000}" name="Column19"/>
    <tableColumn id="20" xr3:uid="{00000000-0010-0000-4300-000014000000}" name="Column20"/>
    <tableColumn id="21" xr3:uid="{00000000-0010-0000-4300-000015000000}" name="Column21"/>
    <tableColumn id="22" xr3:uid="{00000000-0010-0000-4300-000016000000}" name="Column22"/>
    <tableColumn id="23" xr3:uid="{00000000-0010-0000-4300-000017000000}" name="Column23"/>
    <tableColumn id="24" xr3:uid="{00000000-0010-0000-4300-000018000000}" name="Column24"/>
    <tableColumn id="25" xr3:uid="{00000000-0010-0000-4300-000019000000}" name="Column25"/>
    <tableColumn id="26" xr3:uid="{00000000-0010-0000-4300-00001A000000}" name="Column26"/>
    <tableColumn id="27" xr3:uid="{00000000-0010-0000-4300-00001B000000}" name="Column27"/>
    <tableColumn id="28" xr3:uid="{00000000-0010-0000-4300-00001C000000}" name="Column28"/>
    <tableColumn id="29" xr3:uid="{00000000-0010-0000-4300-00001D000000}" name="Column29"/>
    <tableColumn id="30" xr3:uid="{00000000-0010-0000-4300-00001E000000}" name="Column30"/>
    <tableColumn id="31" xr3:uid="{00000000-0010-0000-4300-00001F000000}" name="Column31"/>
    <tableColumn id="32" xr3:uid="{00000000-0010-0000-4300-000020000000}" name="Column32"/>
    <tableColumn id="33" xr3:uid="{00000000-0010-0000-4300-000021000000}" name="Column33"/>
    <tableColumn id="34" xr3:uid="{00000000-0010-0000-4300-000022000000}" name="Column34"/>
    <tableColumn id="35" xr3:uid="{00000000-0010-0000-4300-000023000000}" name="Column35"/>
    <tableColumn id="36" xr3:uid="{00000000-0010-0000-4300-000024000000}" name="Column36"/>
    <tableColumn id="37" xr3:uid="{00000000-0010-0000-4300-000025000000}" name="Column37"/>
    <tableColumn id="38" xr3:uid="{00000000-0010-0000-4300-000026000000}" name="Column38"/>
    <tableColumn id="39" xr3:uid="{00000000-0010-0000-4300-000027000000}" name="Column39"/>
    <tableColumn id="40" xr3:uid="{00000000-0010-0000-4300-000028000000}" name="Column40"/>
    <tableColumn id="41" xr3:uid="{00000000-0010-0000-4300-000029000000}" name="Column41"/>
    <tableColumn id="42" xr3:uid="{00000000-0010-0000-4300-00002A000000}" name="Column42"/>
    <tableColumn id="43" xr3:uid="{00000000-0010-0000-4300-00002B000000}" name="Column43"/>
    <tableColumn id="44" xr3:uid="{00000000-0010-0000-4300-00002C000000}" name="Column44"/>
    <tableColumn id="45" xr3:uid="{00000000-0010-0000-4300-00002D000000}" name="Column45"/>
    <tableColumn id="46" xr3:uid="{00000000-0010-0000-4300-00002E000000}" name="Column46"/>
    <tableColumn id="47" xr3:uid="{00000000-0010-0000-4300-00002F000000}" name="Column47"/>
    <tableColumn id="48" xr3:uid="{00000000-0010-0000-4300-000030000000}" name="Column48"/>
    <tableColumn id="49" xr3:uid="{00000000-0010-0000-4300-000031000000}" name="Column49"/>
    <tableColumn id="50" xr3:uid="{00000000-0010-0000-4300-000032000000}" name="Column50"/>
    <tableColumn id="51" xr3:uid="{00000000-0010-0000-4300-000033000000}" name="Column51"/>
    <tableColumn id="52" xr3:uid="{00000000-0010-0000-4300-000034000000}" name="Column52"/>
    <tableColumn id="53" xr3:uid="{00000000-0010-0000-4300-000035000000}" name="Column53"/>
    <tableColumn id="54" xr3:uid="{00000000-0010-0000-4300-000036000000}" name="Column54"/>
    <tableColumn id="55" xr3:uid="{00000000-0010-0000-4300-000037000000}" name="Column55"/>
    <tableColumn id="56" xr3:uid="{00000000-0010-0000-4300-000038000000}" name="Column56"/>
    <tableColumn id="57" xr3:uid="{00000000-0010-0000-4300-000039000000}" name="Column57"/>
    <tableColumn id="58" xr3:uid="{00000000-0010-0000-4300-00003A000000}" name="Column58"/>
    <tableColumn id="59" xr3:uid="{00000000-0010-0000-4300-00003B000000}" name="Column59"/>
    <tableColumn id="60" xr3:uid="{00000000-0010-0000-4300-00003C000000}" name="Column60"/>
    <tableColumn id="61" xr3:uid="{00000000-0010-0000-4300-00003D000000}" name="Column61"/>
    <tableColumn id="62" xr3:uid="{00000000-0010-0000-4300-00003E000000}" name="Column62"/>
    <tableColumn id="63" xr3:uid="{00000000-0010-0000-4300-00003F000000}" name="Column63"/>
    <tableColumn id="64" xr3:uid="{00000000-0010-0000-4300-000040000000}" name="Column64"/>
    <tableColumn id="65" xr3:uid="{00000000-0010-0000-4300-000041000000}" name="Column65"/>
    <tableColumn id="66" xr3:uid="{00000000-0010-0000-4300-000042000000}" name="Column66"/>
    <tableColumn id="67" xr3:uid="{00000000-0010-0000-4300-000043000000}" name="Column67"/>
    <tableColumn id="68" xr3:uid="{00000000-0010-0000-4300-000044000000}" name="Column68"/>
    <tableColumn id="69" xr3:uid="{00000000-0010-0000-4300-000045000000}" name="Column69"/>
    <tableColumn id="70" xr3:uid="{00000000-0010-0000-4300-000046000000}" name="Column70"/>
    <tableColumn id="71" xr3:uid="{00000000-0010-0000-4300-000047000000}" name="Column71"/>
    <tableColumn id="72" xr3:uid="{00000000-0010-0000-4300-000048000000}" name="Column72"/>
    <tableColumn id="73" xr3:uid="{00000000-0010-0000-4300-000049000000}" name="Column73"/>
    <tableColumn id="74" xr3:uid="{00000000-0010-0000-4300-00004A000000}" name="Column74"/>
    <tableColumn id="75" xr3:uid="{00000000-0010-0000-4300-00004B000000}" name="Column75"/>
    <tableColumn id="76" xr3:uid="{00000000-0010-0000-4300-00004C000000}" name="Column76"/>
    <tableColumn id="77" xr3:uid="{00000000-0010-0000-4300-00004D000000}" name="Column77"/>
    <tableColumn id="78" xr3:uid="{00000000-0010-0000-4300-00004E000000}" name="Column78"/>
    <tableColumn id="79" xr3:uid="{00000000-0010-0000-4300-00004F000000}" name="Column79"/>
    <tableColumn id="80" xr3:uid="{00000000-0010-0000-4300-000050000000}" name="Column80"/>
    <tableColumn id="81" xr3:uid="{00000000-0010-0000-4300-000051000000}" name="Column81"/>
    <tableColumn id="82" xr3:uid="{00000000-0010-0000-4300-000052000000}" name="Column82"/>
    <tableColumn id="83" xr3:uid="{00000000-0010-0000-4300-000053000000}" name="Column83"/>
    <tableColumn id="84" xr3:uid="{00000000-0010-0000-4300-000054000000}" name="Column84"/>
    <tableColumn id="85" xr3:uid="{00000000-0010-0000-4300-000055000000}" name="Column85"/>
    <tableColumn id="86" xr3:uid="{00000000-0010-0000-4300-000056000000}" name="Column86"/>
    <tableColumn id="87" xr3:uid="{00000000-0010-0000-4300-000057000000}" name="Column87"/>
    <tableColumn id="88" xr3:uid="{00000000-0010-0000-4300-000058000000}" name="Column88"/>
    <tableColumn id="89" xr3:uid="{00000000-0010-0000-4300-000059000000}" name="Column89"/>
    <tableColumn id="90" xr3:uid="{00000000-0010-0000-4300-00005A000000}" name="Column90"/>
  </tableColumns>
  <tableStyleInfo name="DATA_MODEL-style 4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26" Type="http://schemas.openxmlformats.org/officeDocument/2006/relationships/table" Target="../tables/table26.xml"/><Relationship Id="rId39" Type="http://schemas.openxmlformats.org/officeDocument/2006/relationships/table" Target="../tables/table39.xml"/><Relationship Id="rId21" Type="http://schemas.openxmlformats.org/officeDocument/2006/relationships/table" Target="../tables/table21.xml"/><Relationship Id="rId34" Type="http://schemas.openxmlformats.org/officeDocument/2006/relationships/table" Target="../tables/table34.xml"/><Relationship Id="rId42" Type="http://schemas.openxmlformats.org/officeDocument/2006/relationships/table" Target="../tables/table42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0" Type="http://schemas.openxmlformats.org/officeDocument/2006/relationships/table" Target="../tables/table20.xml"/><Relationship Id="rId29" Type="http://schemas.openxmlformats.org/officeDocument/2006/relationships/table" Target="../tables/table29.xml"/><Relationship Id="rId41" Type="http://schemas.openxmlformats.org/officeDocument/2006/relationships/table" Target="../tables/table41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24" Type="http://schemas.openxmlformats.org/officeDocument/2006/relationships/table" Target="../tables/table24.xml"/><Relationship Id="rId32" Type="http://schemas.openxmlformats.org/officeDocument/2006/relationships/table" Target="../tables/table32.xml"/><Relationship Id="rId37" Type="http://schemas.openxmlformats.org/officeDocument/2006/relationships/table" Target="../tables/table37.xml"/><Relationship Id="rId40" Type="http://schemas.openxmlformats.org/officeDocument/2006/relationships/table" Target="../tables/table40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28" Type="http://schemas.openxmlformats.org/officeDocument/2006/relationships/table" Target="../tables/table28.xml"/><Relationship Id="rId36" Type="http://schemas.openxmlformats.org/officeDocument/2006/relationships/table" Target="../tables/table36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31" Type="http://schemas.openxmlformats.org/officeDocument/2006/relationships/table" Target="../tables/table31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Relationship Id="rId27" Type="http://schemas.openxmlformats.org/officeDocument/2006/relationships/table" Target="../tables/table27.xml"/><Relationship Id="rId30" Type="http://schemas.openxmlformats.org/officeDocument/2006/relationships/table" Target="../tables/table30.xml"/><Relationship Id="rId35" Type="http://schemas.openxmlformats.org/officeDocument/2006/relationships/table" Target="../tables/table35.xml"/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5" Type="http://schemas.openxmlformats.org/officeDocument/2006/relationships/table" Target="../tables/table25.xml"/><Relationship Id="rId33" Type="http://schemas.openxmlformats.org/officeDocument/2006/relationships/table" Target="../tables/table33.xml"/><Relationship Id="rId38" Type="http://schemas.openxmlformats.org/officeDocument/2006/relationships/table" Target="../tables/table3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CT61"/>
  <sheetViews>
    <sheetView tabSelected="1" workbookViewId="0">
      <pane ySplit="1" topLeftCell="A2" activePane="bottomLeft" state="frozen"/>
      <selection pane="bottomLeft" activeCell="E4" sqref="E4"/>
    </sheetView>
  </sheetViews>
  <sheetFormatPr defaultColWidth="12.5703125" defaultRowHeight="15.75" customHeight="1" x14ac:dyDescent="0.2"/>
  <cols>
    <col min="6" max="6" width="25.5703125" customWidth="1"/>
    <col min="8" max="8" width="14.7109375" bestFit="1" customWidth="1"/>
    <col min="18" max="18" width="21.42578125" customWidth="1"/>
  </cols>
  <sheetData>
    <row r="1" spans="1:98" ht="22.5" customHeight="1" x14ac:dyDescent="0.2">
      <c r="A1" s="29" t="s">
        <v>161</v>
      </c>
      <c r="B1" s="13" t="s">
        <v>219</v>
      </c>
      <c r="C1" s="13" t="s">
        <v>162</v>
      </c>
      <c r="D1" s="13" t="s">
        <v>163</v>
      </c>
      <c r="E1" s="14" t="s">
        <v>158</v>
      </c>
      <c r="F1" s="15" t="s">
        <v>164</v>
      </c>
      <c r="G1" s="16" t="s">
        <v>165</v>
      </c>
      <c r="H1" s="16" t="s">
        <v>159</v>
      </c>
      <c r="I1" s="30" t="s">
        <v>0</v>
      </c>
      <c r="J1" s="30" t="s">
        <v>1</v>
      </c>
      <c r="K1" s="30" t="s">
        <v>2</v>
      </c>
      <c r="L1" s="30" t="s">
        <v>3</v>
      </c>
      <c r="M1" s="30" t="s">
        <v>4</v>
      </c>
      <c r="N1" s="30" t="s">
        <v>5</v>
      </c>
      <c r="O1" s="30" t="s">
        <v>6</v>
      </c>
      <c r="P1" s="30" t="s">
        <v>7</v>
      </c>
      <c r="Q1" s="30" t="s">
        <v>8</v>
      </c>
      <c r="R1" s="30" t="s">
        <v>206</v>
      </c>
      <c r="S1" s="30" t="s">
        <v>9</v>
      </c>
      <c r="T1" s="30" t="s">
        <v>10</v>
      </c>
      <c r="U1" s="30" t="s">
        <v>11</v>
      </c>
      <c r="V1" s="30" t="s">
        <v>12</v>
      </c>
      <c r="W1" s="30" t="s">
        <v>13</v>
      </c>
      <c r="X1" s="30" t="s">
        <v>14</v>
      </c>
      <c r="Y1" s="30" t="s">
        <v>15</v>
      </c>
      <c r="Z1" s="30" t="s">
        <v>16</v>
      </c>
      <c r="AA1" s="30" t="s">
        <v>17</v>
      </c>
      <c r="AB1" s="30" t="s">
        <v>18</v>
      </c>
      <c r="AC1" s="30" t="s">
        <v>19</v>
      </c>
      <c r="AD1" s="30" t="s">
        <v>20</v>
      </c>
      <c r="AE1" s="30" t="s">
        <v>21</v>
      </c>
      <c r="AF1" s="30" t="s">
        <v>22</v>
      </c>
      <c r="AG1" s="30" t="s">
        <v>23</v>
      </c>
      <c r="AH1" s="30" t="s">
        <v>24</v>
      </c>
      <c r="AI1" s="30" t="s">
        <v>25</v>
      </c>
      <c r="AJ1" s="30" t="s">
        <v>26</v>
      </c>
      <c r="AK1" s="30" t="s">
        <v>27</v>
      </c>
      <c r="AL1" s="30" t="s">
        <v>28</v>
      </c>
      <c r="AM1" s="30" t="s">
        <v>29</v>
      </c>
      <c r="AN1" s="30" t="s">
        <v>30</v>
      </c>
      <c r="AO1" s="30" t="s">
        <v>31</v>
      </c>
      <c r="AP1" s="30" t="s">
        <v>32</v>
      </c>
      <c r="AQ1" s="30" t="s">
        <v>33</v>
      </c>
      <c r="AR1" s="30" t="s">
        <v>34</v>
      </c>
      <c r="AS1" s="30" t="s">
        <v>35</v>
      </c>
      <c r="AT1" s="30" t="s">
        <v>36</v>
      </c>
      <c r="AU1" s="30" t="s">
        <v>37</v>
      </c>
      <c r="AV1" s="30" t="s">
        <v>38</v>
      </c>
      <c r="AW1" s="30" t="s">
        <v>39</v>
      </c>
      <c r="AX1" s="30" t="s">
        <v>40</v>
      </c>
      <c r="AY1" s="30" t="s">
        <v>41</v>
      </c>
      <c r="AZ1" s="30" t="s">
        <v>42</v>
      </c>
      <c r="BA1" s="30" t="s">
        <v>43</v>
      </c>
      <c r="BB1" s="30" t="s">
        <v>44</v>
      </c>
      <c r="BC1" s="30" t="s">
        <v>45</v>
      </c>
      <c r="BD1" s="30" t="s">
        <v>46</v>
      </c>
      <c r="BE1" s="30" t="s">
        <v>47</v>
      </c>
      <c r="BF1" s="30" t="s">
        <v>48</v>
      </c>
      <c r="BG1" s="30" t="s">
        <v>49</v>
      </c>
      <c r="BH1" s="30" t="s">
        <v>50</v>
      </c>
      <c r="BI1" s="30" t="s">
        <v>51</v>
      </c>
      <c r="BJ1" s="30" t="s">
        <v>52</v>
      </c>
      <c r="BK1" s="30" t="s">
        <v>53</v>
      </c>
      <c r="BL1" s="30" t="s">
        <v>54</v>
      </c>
      <c r="BM1" s="30" t="s">
        <v>55</v>
      </c>
      <c r="BN1" s="30" t="s">
        <v>56</v>
      </c>
      <c r="BO1" s="30" t="s">
        <v>57</v>
      </c>
      <c r="BP1" s="30" t="s">
        <v>58</v>
      </c>
      <c r="BQ1" s="30" t="s">
        <v>59</v>
      </c>
      <c r="BR1" s="30" t="s">
        <v>60</v>
      </c>
      <c r="BS1" s="30" t="s">
        <v>61</v>
      </c>
      <c r="BT1" s="30" t="s">
        <v>62</v>
      </c>
      <c r="BU1" s="30" t="s">
        <v>63</v>
      </c>
      <c r="BV1" s="30" t="s">
        <v>64</v>
      </c>
      <c r="BW1" s="30" t="s">
        <v>65</v>
      </c>
      <c r="BX1" s="30" t="s">
        <v>66</v>
      </c>
      <c r="BY1" s="30" t="s">
        <v>67</v>
      </c>
      <c r="BZ1" s="30" t="s">
        <v>68</v>
      </c>
      <c r="CA1" s="30" t="s">
        <v>69</v>
      </c>
      <c r="CB1" s="30" t="s">
        <v>70</v>
      </c>
      <c r="CC1" s="30" t="s">
        <v>71</v>
      </c>
      <c r="CD1" s="30" t="s">
        <v>72</v>
      </c>
      <c r="CE1" s="30" t="s">
        <v>73</v>
      </c>
      <c r="CF1" s="30" t="s">
        <v>74</v>
      </c>
      <c r="CG1" s="30" t="s">
        <v>75</v>
      </c>
      <c r="CH1" s="30" t="s">
        <v>76</v>
      </c>
      <c r="CI1" s="30" t="s">
        <v>77</v>
      </c>
      <c r="CJ1" s="30" t="s">
        <v>78</v>
      </c>
      <c r="CK1" s="30" t="s">
        <v>79</v>
      </c>
      <c r="CL1" s="30" t="s">
        <v>80</v>
      </c>
      <c r="CM1" s="30" t="s">
        <v>81</v>
      </c>
      <c r="CN1" s="30" t="s">
        <v>82</v>
      </c>
      <c r="CO1" s="30" t="s">
        <v>83</v>
      </c>
      <c r="CP1" s="30" t="s">
        <v>84</v>
      </c>
      <c r="CQ1" s="30" t="s">
        <v>85</v>
      </c>
      <c r="CR1" s="30" t="s">
        <v>86</v>
      </c>
      <c r="CS1" s="30" t="s">
        <v>87</v>
      </c>
      <c r="CT1" s="30" t="s">
        <v>88</v>
      </c>
    </row>
    <row r="2" spans="1:98" ht="14.25" x14ac:dyDescent="0.2">
      <c r="A2" s="32" t="s">
        <v>126</v>
      </c>
      <c r="B2" s="20">
        <v>86</v>
      </c>
      <c r="C2" s="20">
        <v>76</v>
      </c>
      <c r="D2" s="20">
        <v>60</v>
      </c>
      <c r="E2" s="20">
        <v>71.3</v>
      </c>
      <c r="F2" s="17" t="str">
        <f>IF(E2&gt;=70,"PASSED", "---")</f>
        <v>PASSED</v>
      </c>
      <c r="G2" s="33">
        <v>1.7231000000000001</v>
      </c>
      <c r="H2" s="21">
        <v>44652</v>
      </c>
      <c r="I2" s="4" t="s">
        <v>103</v>
      </c>
      <c r="J2" s="4" t="s">
        <v>90</v>
      </c>
      <c r="K2" s="8" t="s">
        <v>119</v>
      </c>
      <c r="L2" s="3" t="s">
        <v>91</v>
      </c>
      <c r="M2" s="5"/>
      <c r="N2" s="3" t="s">
        <v>91</v>
      </c>
      <c r="O2" s="5"/>
      <c r="P2" s="3" t="s">
        <v>106</v>
      </c>
      <c r="Q2" s="3" t="s">
        <v>90</v>
      </c>
      <c r="R2" s="34" t="s">
        <v>207</v>
      </c>
      <c r="S2" s="3" t="s">
        <v>90</v>
      </c>
      <c r="T2" s="4" t="s">
        <v>160</v>
      </c>
      <c r="U2" s="3" t="s">
        <v>127</v>
      </c>
      <c r="V2" s="3" t="s">
        <v>90</v>
      </c>
      <c r="W2" s="3" t="s">
        <v>94</v>
      </c>
      <c r="X2" s="3" t="s">
        <v>91</v>
      </c>
      <c r="Y2" s="5"/>
      <c r="Z2" s="3">
        <v>2</v>
      </c>
      <c r="AA2" s="3">
        <v>1</v>
      </c>
      <c r="AB2" s="3">
        <v>1</v>
      </c>
      <c r="AC2" s="3">
        <v>2</v>
      </c>
      <c r="AD2" s="3">
        <v>2</v>
      </c>
      <c r="AE2" s="3">
        <v>1</v>
      </c>
      <c r="AF2" s="3">
        <v>2</v>
      </c>
      <c r="AG2" s="3">
        <v>2</v>
      </c>
      <c r="AH2" s="3">
        <v>2</v>
      </c>
      <c r="AI2" s="3">
        <v>2</v>
      </c>
      <c r="AJ2" s="3">
        <v>2</v>
      </c>
      <c r="AK2" s="3">
        <v>2</v>
      </c>
      <c r="AL2" s="3">
        <v>2</v>
      </c>
      <c r="AM2" s="3">
        <v>2</v>
      </c>
      <c r="AN2" s="3">
        <v>2</v>
      </c>
      <c r="AO2" s="3">
        <v>3</v>
      </c>
      <c r="AP2" s="3">
        <v>1</v>
      </c>
      <c r="AQ2" s="3">
        <v>2</v>
      </c>
      <c r="AR2" s="3">
        <v>2</v>
      </c>
      <c r="AS2" s="3">
        <v>2</v>
      </c>
      <c r="AT2" s="3">
        <v>2</v>
      </c>
      <c r="AU2" s="3">
        <v>1</v>
      </c>
      <c r="AV2" s="3">
        <v>1</v>
      </c>
      <c r="AW2" s="3">
        <v>2</v>
      </c>
      <c r="AX2" s="3">
        <v>1</v>
      </c>
      <c r="AY2" s="3">
        <v>1</v>
      </c>
      <c r="AZ2" s="3">
        <v>2</v>
      </c>
      <c r="BA2" s="3">
        <v>2</v>
      </c>
      <c r="BB2" s="3">
        <v>2</v>
      </c>
      <c r="BC2" s="3">
        <v>2</v>
      </c>
      <c r="BD2" s="3">
        <v>2</v>
      </c>
      <c r="BE2" s="3">
        <v>1</v>
      </c>
      <c r="BF2" s="3">
        <v>2</v>
      </c>
      <c r="BG2" s="3">
        <v>2</v>
      </c>
      <c r="BH2" s="3">
        <v>2</v>
      </c>
      <c r="BI2" s="3">
        <v>2</v>
      </c>
      <c r="BJ2" s="3">
        <v>2</v>
      </c>
      <c r="BK2" s="3">
        <v>2</v>
      </c>
      <c r="BL2" s="3">
        <v>2</v>
      </c>
      <c r="BM2" s="3">
        <v>2</v>
      </c>
      <c r="BN2" s="3">
        <v>1</v>
      </c>
      <c r="BO2" s="3">
        <v>1</v>
      </c>
      <c r="BP2" s="3">
        <v>2</v>
      </c>
      <c r="BQ2" s="3">
        <v>2</v>
      </c>
      <c r="BR2" s="3">
        <v>1</v>
      </c>
      <c r="BS2" s="3">
        <v>1</v>
      </c>
      <c r="BT2" s="3">
        <v>2</v>
      </c>
      <c r="BU2" s="3">
        <v>1</v>
      </c>
      <c r="BV2" s="3">
        <v>1</v>
      </c>
      <c r="BW2" s="3">
        <v>2</v>
      </c>
      <c r="BX2" s="3">
        <v>2</v>
      </c>
      <c r="BY2" s="3">
        <v>2</v>
      </c>
      <c r="BZ2" s="3">
        <v>2</v>
      </c>
      <c r="CA2" s="3">
        <v>2</v>
      </c>
      <c r="CB2" s="3">
        <v>2</v>
      </c>
      <c r="CC2" s="3">
        <v>2</v>
      </c>
      <c r="CD2" s="3">
        <v>2</v>
      </c>
      <c r="CE2" s="3">
        <v>2</v>
      </c>
      <c r="CF2" s="3">
        <v>2</v>
      </c>
      <c r="CG2" s="3">
        <v>2</v>
      </c>
      <c r="CH2" s="3">
        <v>2</v>
      </c>
      <c r="CI2" s="3">
        <v>2</v>
      </c>
      <c r="CJ2" s="3">
        <v>2</v>
      </c>
      <c r="CK2" s="3">
        <v>2</v>
      </c>
      <c r="CL2" s="3">
        <v>2</v>
      </c>
      <c r="CM2" s="3">
        <v>2</v>
      </c>
      <c r="CN2" s="3">
        <v>2</v>
      </c>
      <c r="CO2" s="3">
        <v>2</v>
      </c>
      <c r="CP2" s="3">
        <v>2</v>
      </c>
      <c r="CQ2" s="3">
        <v>2</v>
      </c>
      <c r="CR2" s="3">
        <v>2</v>
      </c>
      <c r="CS2" s="3">
        <v>2</v>
      </c>
      <c r="CT2" s="3">
        <v>2</v>
      </c>
    </row>
    <row r="3" spans="1:98" ht="14.25" x14ac:dyDescent="0.2">
      <c r="A3" s="32" t="s">
        <v>105</v>
      </c>
      <c r="B3" s="20">
        <v>69</v>
      </c>
      <c r="C3" s="20">
        <v>62</v>
      </c>
      <c r="D3" s="20">
        <v>53</v>
      </c>
      <c r="E3" s="20">
        <v>59.7</v>
      </c>
      <c r="F3" s="17" t="s">
        <v>166</v>
      </c>
      <c r="G3" s="33">
        <v>2.5162</v>
      </c>
      <c r="H3" s="21">
        <v>44652</v>
      </c>
      <c r="I3" s="3" t="s">
        <v>103</v>
      </c>
      <c r="J3" s="3" t="s">
        <v>102</v>
      </c>
      <c r="K3" s="5"/>
      <c r="L3" s="3" t="s">
        <v>90</v>
      </c>
      <c r="M3" s="3" t="s">
        <v>97</v>
      </c>
      <c r="N3" s="3" t="s">
        <v>91</v>
      </c>
      <c r="O3" s="5"/>
      <c r="P3" s="3" t="s">
        <v>106</v>
      </c>
      <c r="Q3" s="8" t="s">
        <v>90</v>
      </c>
      <c r="R3" s="35" t="s">
        <v>208</v>
      </c>
      <c r="S3" s="3" t="s">
        <v>90</v>
      </c>
      <c r="T3" s="4" t="s">
        <v>160</v>
      </c>
      <c r="U3" s="3" t="s">
        <v>107</v>
      </c>
      <c r="V3" s="3" t="s">
        <v>90</v>
      </c>
      <c r="W3" s="3" t="s">
        <v>104</v>
      </c>
      <c r="X3" s="3" t="s">
        <v>90</v>
      </c>
      <c r="Y3" s="3" t="s">
        <v>108</v>
      </c>
      <c r="Z3" s="3">
        <v>2</v>
      </c>
      <c r="AA3" s="3">
        <v>2</v>
      </c>
      <c r="AB3" s="3">
        <v>2</v>
      </c>
      <c r="AC3" s="3">
        <v>2</v>
      </c>
      <c r="AD3" s="3">
        <v>2</v>
      </c>
      <c r="AE3" s="3">
        <v>2</v>
      </c>
      <c r="AF3" s="3">
        <v>3</v>
      </c>
      <c r="AG3" s="3">
        <v>3</v>
      </c>
      <c r="AH3" s="3">
        <v>3</v>
      </c>
      <c r="AI3" s="3">
        <v>2</v>
      </c>
      <c r="AJ3" s="3">
        <v>2</v>
      </c>
      <c r="AK3" s="3">
        <v>3</v>
      </c>
      <c r="AL3" s="3">
        <v>2</v>
      </c>
      <c r="AM3" s="3">
        <v>2</v>
      </c>
      <c r="AN3" s="3">
        <v>2</v>
      </c>
      <c r="AO3" s="3">
        <v>2</v>
      </c>
      <c r="AP3" s="3">
        <v>3</v>
      </c>
      <c r="AQ3" s="3">
        <v>3</v>
      </c>
      <c r="AR3" s="3">
        <v>3</v>
      </c>
      <c r="AS3" s="3">
        <v>3</v>
      </c>
      <c r="AT3" s="3">
        <v>3</v>
      </c>
      <c r="AU3" s="3">
        <v>3</v>
      </c>
      <c r="AV3" s="3">
        <v>2</v>
      </c>
      <c r="AW3" s="3">
        <v>2</v>
      </c>
      <c r="AX3" s="3">
        <v>4</v>
      </c>
      <c r="AY3" s="3">
        <v>2</v>
      </c>
      <c r="AZ3" s="3">
        <v>4</v>
      </c>
      <c r="BA3" s="3">
        <v>4</v>
      </c>
      <c r="BB3" s="3">
        <v>4</v>
      </c>
      <c r="BC3" s="3">
        <v>4</v>
      </c>
      <c r="BD3" s="3">
        <v>4</v>
      </c>
      <c r="BE3" s="3">
        <v>4</v>
      </c>
      <c r="BF3" s="3">
        <v>4</v>
      </c>
      <c r="BG3" s="3">
        <v>4</v>
      </c>
      <c r="BH3" s="3">
        <v>4</v>
      </c>
      <c r="BI3" s="3">
        <v>2</v>
      </c>
      <c r="BJ3" s="3">
        <v>3</v>
      </c>
      <c r="BK3" s="3">
        <v>4</v>
      </c>
      <c r="BL3" s="3">
        <v>4</v>
      </c>
      <c r="BM3" s="3">
        <v>4</v>
      </c>
      <c r="BN3" s="3">
        <v>3</v>
      </c>
      <c r="BO3" s="3">
        <v>3</v>
      </c>
      <c r="BP3" s="3">
        <v>3</v>
      </c>
      <c r="BQ3" s="3">
        <v>3</v>
      </c>
      <c r="BR3" s="3">
        <v>3</v>
      </c>
      <c r="BS3" s="3">
        <v>3</v>
      </c>
      <c r="BT3" s="3">
        <v>4</v>
      </c>
      <c r="BU3" s="3">
        <v>2</v>
      </c>
      <c r="BV3" s="3">
        <v>2</v>
      </c>
      <c r="BW3" s="3">
        <v>2</v>
      </c>
      <c r="BX3" s="3">
        <v>2</v>
      </c>
      <c r="BY3" s="3">
        <v>2</v>
      </c>
      <c r="BZ3" s="3">
        <v>2</v>
      </c>
      <c r="CA3" s="3">
        <v>2</v>
      </c>
      <c r="CB3" s="3">
        <v>2</v>
      </c>
      <c r="CC3" s="3">
        <v>2</v>
      </c>
      <c r="CD3" s="3">
        <v>2</v>
      </c>
      <c r="CE3" s="3">
        <v>2</v>
      </c>
      <c r="CF3" s="3">
        <v>3</v>
      </c>
      <c r="CG3" s="3">
        <v>2</v>
      </c>
      <c r="CH3" s="3">
        <v>3</v>
      </c>
      <c r="CI3" s="3">
        <v>3</v>
      </c>
      <c r="CJ3" s="3">
        <v>2</v>
      </c>
      <c r="CK3" s="3">
        <v>2</v>
      </c>
      <c r="CL3" s="3">
        <v>3</v>
      </c>
      <c r="CM3" s="3">
        <v>2</v>
      </c>
      <c r="CN3" s="3">
        <v>3</v>
      </c>
      <c r="CO3" s="3">
        <v>3</v>
      </c>
      <c r="CP3" s="3">
        <v>3</v>
      </c>
      <c r="CQ3" s="3">
        <v>2</v>
      </c>
      <c r="CR3" s="3">
        <v>2</v>
      </c>
      <c r="CS3" s="3">
        <v>2</v>
      </c>
      <c r="CT3" s="3">
        <v>2</v>
      </c>
    </row>
    <row r="4" spans="1:98" ht="14.25" x14ac:dyDescent="0.2">
      <c r="A4" s="36" t="s">
        <v>118</v>
      </c>
      <c r="B4" s="20">
        <v>69</v>
      </c>
      <c r="C4" s="20">
        <v>71</v>
      </c>
      <c r="D4" s="20">
        <v>57</v>
      </c>
      <c r="E4" s="20">
        <v>64.2</v>
      </c>
      <c r="F4" s="17" t="s">
        <v>166</v>
      </c>
      <c r="G4" s="37">
        <v>2.3151999999999999</v>
      </c>
      <c r="H4" s="24">
        <v>44652</v>
      </c>
      <c r="I4" s="8" t="s">
        <v>110</v>
      </c>
      <c r="J4" s="8" t="s">
        <v>89</v>
      </c>
      <c r="K4" s="8" t="s">
        <v>119</v>
      </c>
      <c r="L4" s="8" t="s">
        <v>90</v>
      </c>
      <c r="M4" s="8" t="s">
        <v>120</v>
      </c>
      <c r="N4" s="8" t="s">
        <v>91</v>
      </c>
      <c r="O4" s="8" t="s">
        <v>92</v>
      </c>
      <c r="P4" s="8" t="s">
        <v>106</v>
      </c>
      <c r="Q4" s="3" t="s">
        <v>91</v>
      </c>
      <c r="R4" s="5"/>
      <c r="S4" s="8" t="s">
        <v>91</v>
      </c>
      <c r="T4" s="8" t="s">
        <v>160</v>
      </c>
      <c r="U4" s="38"/>
      <c r="V4" s="8" t="s">
        <v>90</v>
      </c>
      <c r="W4" s="8" t="s">
        <v>122</v>
      </c>
      <c r="X4" s="8" t="s">
        <v>90</v>
      </c>
      <c r="Y4" s="8" t="s">
        <v>108</v>
      </c>
      <c r="Z4" s="8">
        <v>2</v>
      </c>
      <c r="AA4" s="8">
        <v>2</v>
      </c>
      <c r="AB4" s="8">
        <v>2</v>
      </c>
      <c r="AC4" s="8">
        <v>2</v>
      </c>
      <c r="AD4" s="8">
        <v>2</v>
      </c>
      <c r="AE4" s="8">
        <v>2</v>
      </c>
      <c r="AF4" s="8">
        <v>3</v>
      </c>
      <c r="AG4" s="8">
        <v>2</v>
      </c>
      <c r="AH4" s="8">
        <v>2</v>
      </c>
      <c r="AI4" s="8">
        <v>2</v>
      </c>
      <c r="AJ4" s="8">
        <v>2</v>
      </c>
      <c r="AK4" s="8">
        <v>2</v>
      </c>
      <c r="AL4" s="8">
        <v>2</v>
      </c>
      <c r="AM4" s="8">
        <v>2</v>
      </c>
      <c r="AN4" s="8">
        <v>2</v>
      </c>
      <c r="AO4" s="8">
        <v>2</v>
      </c>
      <c r="AP4" s="8">
        <v>2</v>
      </c>
      <c r="AQ4" s="8">
        <v>2</v>
      </c>
      <c r="AR4" s="8">
        <v>2</v>
      </c>
      <c r="AS4" s="8">
        <v>2</v>
      </c>
      <c r="AT4" s="8">
        <v>2</v>
      </c>
      <c r="AU4" s="8">
        <v>2</v>
      </c>
      <c r="AV4" s="8">
        <v>2</v>
      </c>
      <c r="AW4" s="8">
        <v>2</v>
      </c>
      <c r="AX4" s="8">
        <v>1</v>
      </c>
      <c r="AY4" s="8">
        <v>1</v>
      </c>
      <c r="AZ4" s="8">
        <v>2</v>
      </c>
      <c r="BA4" s="8">
        <v>3</v>
      </c>
      <c r="BB4" s="8">
        <v>2</v>
      </c>
      <c r="BC4" s="8">
        <v>4</v>
      </c>
      <c r="BD4" s="8">
        <v>3</v>
      </c>
      <c r="BE4" s="8">
        <v>3</v>
      </c>
      <c r="BF4" s="8">
        <v>2</v>
      </c>
      <c r="BG4" s="8">
        <v>2</v>
      </c>
      <c r="BH4" s="8">
        <v>2</v>
      </c>
      <c r="BI4" s="8">
        <v>2</v>
      </c>
      <c r="BJ4" s="8">
        <v>2</v>
      </c>
      <c r="BK4" s="8">
        <v>2</v>
      </c>
      <c r="BL4" s="8">
        <v>2</v>
      </c>
      <c r="BM4" s="8">
        <v>2</v>
      </c>
      <c r="BN4" s="8">
        <v>2</v>
      </c>
      <c r="BO4" s="8">
        <v>2</v>
      </c>
      <c r="BP4" s="8">
        <v>2</v>
      </c>
      <c r="BQ4" s="8">
        <v>2</v>
      </c>
      <c r="BR4" s="8">
        <v>2</v>
      </c>
      <c r="BS4" s="8">
        <v>2</v>
      </c>
      <c r="BT4" s="8">
        <v>2</v>
      </c>
      <c r="BU4" s="8">
        <v>2</v>
      </c>
      <c r="BV4" s="8">
        <v>1</v>
      </c>
      <c r="BW4" s="8">
        <v>1</v>
      </c>
      <c r="BX4" s="8">
        <v>1</v>
      </c>
      <c r="BY4" s="8">
        <v>1</v>
      </c>
      <c r="BZ4" s="8">
        <v>1</v>
      </c>
      <c r="CA4" s="8">
        <v>1</v>
      </c>
      <c r="CB4" s="8">
        <v>1</v>
      </c>
      <c r="CC4" s="8">
        <v>1</v>
      </c>
      <c r="CD4" s="8">
        <v>1</v>
      </c>
      <c r="CE4" s="8">
        <v>1</v>
      </c>
      <c r="CF4" s="8">
        <v>1</v>
      </c>
      <c r="CG4" s="8">
        <v>1</v>
      </c>
      <c r="CH4" s="8">
        <v>1</v>
      </c>
      <c r="CI4" s="8">
        <v>1</v>
      </c>
      <c r="CJ4" s="8">
        <v>1</v>
      </c>
      <c r="CK4" s="8">
        <v>1</v>
      </c>
      <c r="CL4" s="8">
        <v>1</v>
      </c>
      <c r="CM4" s="8">
        <v>1</v>
      </c>
      <c r="CN4" s="8">
        <v>1</v>
      </c>
      <c r="CO4" s="8">
        <v>1</v>
      </c>
      <c r="CP4" s="8">
        <v>1</v>
      </c>
      <c r="CQ4" s="8">
        <v>1</v>
      </c>
      <c r="CR4" s="8">
        <v>1</v>
      </c>
      <c r="CS4" s="8">
        <v>1</v>
      </c>
      <c r="CT4" s="8">
        <v>1</v>
      </c>
    </row>
    <row r="5" spans="1:98" ht="14.25" x14ac:dyDescent="0.2">
      <c r="A5" s="32" t="s">
        <v>130</v>
      </c>
      <c r="B5" s="27">
        <v>81</v>
      </c>
      <c r="C5" s="27">
        <v>73</v>
      </c>
      <c r="D5" s="27">
        <v>71</v>
      </c>
      <c r="E5" s="20">
        <v>74.099999999999994</v>
      </c>
      <c r="F5" s="17" t="str">
        <f t="shared" ref="F5:F6" si="0">IF(E5&gt;=70,"PASSED", "---")</f>
        <v>PASSED</v>
      </c>
      <c r="G5" s="33">
        <v>1.982</v>
      </c>
      <c r="H5" s="21">
        <v>44805</v>
      </c>
      <c r="I5" s="3" t="s">
        <v>103</v>
      </c>
      <c r="J5" s="3" t="s">
        <v>102</v>
      </c>
      <c r="K5" s="5"/>
      <c r="L5" s="3" t="s">
        <v>91</v>
      </c>
      <c r="M5" s="5"/>
      <c r="N5" s="3" t="s">
        <v>91</v>
      </c>
      <c r="O5" s="5"/>
      <c r="P5" s="3" t="s">
        <v>99</v>
      </c>
      <c r="Q5" s="8" t="s">
        <v>91</v>
      </c>
      <c r="R5" s="38"/>
      <c r="S5" s="3" t="s">
        <v>91</v>
      </c>
      <c r="T5" s="3" t="s">
        <v>101</v>
      </c>
      <c r="U5" s="5"/>
      <c r="V5" s="3" t="s">
        <v>91</v>
      </c>
      <c r="W5" s="5"/>
      <c r="X5" s="3" t="s">
        <v>91</v>
      </c>
      <c r="Y5" s="5"/>
      <c r="Z5" s="3">
        <v>1</v>
      </c>
      <c r="AA5" s="3">
        <v>2</v>
      </c>
      <c r="AB5" s="3">
        <v>2</v>
      </c>
      <c r="AC5" s="3">
        <v>2</v>
      </c>
      <c r="AD5" s="3">
        <v>2</v>
      </c>
      <c r="AE5" s="3">
        <v>1</v>
      </c>
      <c r="AF5" s="3">
        <v>1</v>
      </c>
      <c r="AG5" s="3">
        <v>2</v>
      </c>
      <c r="AH5" s="3">
        <v>1</v>
      </c>
      <c r="AI5" s="3">
        <v>2</v>
      </c>
      <c r="AJ5" s="3">
        <v>2</v>
      </c>
      <c r="AK5" s="3">
        <v>2</v>
      </c>
      <c r="AL5" s="3">
        <v>2</v>
      </c>
      <c r="AM5" s="3">
        <v>2</v>
      </c>
      <c r="AN5" s="3">
        <v>2</v>
      </c>
      <c r="AO5" s="3">
        <v>2</v>
      </c>
      <c r="AP5" s="3">
        <v>2</v>
      </c>
      <c r="AQ5" s="3">
        <v>2</v>
      </c>
      <c r="AR5" s="3">
        <v>2</v>
      </c>
      <c r="AS5" s="3">
        <v>2</v>
      </c>
      <c r="AT5" s="3">
        <v>2</v>
      </c>
      <c r="AU5" s="3">
        <v>2</v>
      </c>
      <c r="AV5" s="3">
        <v>2</v>
      </c>
      <c r="AW5" s="3">
        <v>2</v>
      </c>
      <c r="AX5" s="3">
        <v>1</v>
      </c>
      <c r="AY5" s="3">
        <v>1</v>
      </c>
      <c r="AZ5" s="3">
        <v>1</v>
      </c>
      <c r="BA5" s="3">
        <v>1</v>
      </c>
      <c r="BB5" s="3">
        <v>1</v>
      </c>
      <c r="BC5" s="3">
        <v>1</v>
      </c>
      <c r="BD5" s="3">
        <v>1</v>
      </c>
      <c r="BE5" s="3">
        <v>1</v>
      </c>
      <c r="BF5" s="3">
        <v>1</v>
      </c>
      <c r="BG5" s="3">
        <v>2</v>
      </c>
      <c r="BH5" s="3">
        <v>2</v>
      </c>
      <c r="BI5" s="3">
        <v>2</v>
      </c>
      <c r="BJ5" s="3">
        <v>2</v>
      </c>
      <c r="BK5" s="3">
        <v>2</v>
      </c>
      <c r="BL5" s="3">
        <v>2</v>
      </c>
      <c r="BM5" s="3">
        <v>2</v>
      </c>
      <c r="BN5" s="3">
        <v>2</v>
      </c>
      <c r="BO5" s="3">
        <v>2</v>
      </c>
      <c r="BP5" s="3">
        <v>2</v>
      </c>
      <c r="BQ5" s="3">
        <v>2</v>
      </c>
      <c r="BR5" s="3">
        <v>2</v>
      </c>
      <c r="BS5" s="3">
        <v>2</v>
      </c>
      <c r="BT5" s="3">
        <v>2</v>
      </c>
      <c r="BU5" s="3">
        <v>2</v>
      </c>
      <c r="BV5" s="3">
        <v>1</v>
      </c>
      <c r="BW5" s="3">
        <v>1</v>
      </c>
      <c r="BX5" s="3">
        <v>2</v>
      </c>
      <c r="BY5" s="3">
        <v>1</v>
      </c>
      <c r="BZ5" s="3">
        <v>1</v>
      </c>
      <c r="CA5" s="3">
        <v>1</v>
      </c>
      <c r="CB5" s="3">
        <v>1</v>
      </c>
      <c r="CC5" s="3">
        <v>1</v>
      </c>
      <c r="CD5" s="3">
        <v>1</v>
      </c>
      <c r="CE5" s="3">
        <v>1</v>
      </c>
      <c r="CF5" s="3">
        <v>1</v>
      </c>
      <c r="CG5" s="3">
        <v>2</v>
      </c>
      <c r="CH5" s="3">
        <v>2</v>
      </c>
      <c r="CI5" s="3">
        <v>2</v>
      </c>
      <c r="CJ5" s="3">
        <v>2</v>
      </c>
      <c r="CK5" s="3">
        <v>2</v>
      </c>
      <c r="CL5" s="3">
        <v>2</v>
      </c>
      <c r="CM5" s="3">
        <v>2</v>
      </c>
      <c r="CN5" s="3">
        <v>2</v>
      </c>
      <c r="CO5" s="3">
        <v>2</v>
      </c>
      <c r="CP5" s="3">
        <v>2</v>
      </c>
      <c r="CQ5" s="3">
        <v>2</v>
      </c>
      <c r="CR5" s="3">
        <v>2</v>
      </c>
      <c r="CS5" s="3">
        <v>2</v>
      </c>
      <c r="CT5" s="3">
        <v>2</v>
      </c>
    </row>
    <row r="6" spans="1:98" ht="12.75" x14ac:dyDescent="0.2">
      <c r="A6" s="19" t="s">
        <v>167</v>
      </c>
      <c r="B6" s="20">
        <v>78</v>
      </c>
      <c r="C6" s="20">
        <v>79</v>
      </c>
      <c r="D6" s="20">
        <v>75</v>
      </c>
      <c r="E6" s="20">
        <v>76.95</v>
      </c>
      <c r="F6" s="17" t="str">
        <f t="shared" si="0"/>
        <v>PASSED</v>
      </c>
      <c r="G6" s="17">
        <v>2.1398999999999999</v>
      </c>
      <c r="H6" s="21">
        <v>44805</v>
      </c>
      <c r="I6" s="8" t="s">
        <v>110</v>
      </c>
      <c r="J6" s="4" t="s">
        <v>90</v>
      </c>
      <c r="K6" s="3" t="s">
        <v>111</v>
      </c>
      <c r="L6" s="3" t="s">
        <v>90</v>
      </c>
      <c r="M6" s="3" t="s">
        <v>97</v>
      </c>
      <c r="N6" s="3" t="s">
        <v>91</v>
      </c>
      <c r="O6" s="5"/>
      <c r="P6" s="3" t="s">
        <v>99</v>
      </c>
      <c r="Q6" s="3" t="s">
        <v>91</v>
      </c>
      <c r="R6" s="5"/>
      <c r="S6" s="3" t="s">
        <v>91</v>
      </c>
      <c r="T6" s="3" t="s">
        <v>101</v>
      </c>
      <c r="U6" s="5"/>
      <c r="V6" s="3" t="s">
        <v>91</v>
      </c>
      <c r="W6" s="5"/>
      <c r="X6" s="3" t="s">
        <v>91</v>
      </c>
      <c r="Y6" s="5"/>
      <c r="Z6" s="3">
        <v>1</v>
      </c>
      <c r="AA6" s="3">
        <v>1</v>
      </c>
      <c r="AB6" s="3">
        <v>1</v>
      </c>
      <c r="AC6" s="3">
        <v>1</v>
      </c>
      <c r="AD6" s="3">
        <v>1</v>
      </c>
      <c r="AE6" s="3">
        <v>1</v>
      </c>
      <c r="AF6" s="3">
        <v>1</v>
      </c>
      <c r="AG6" s="3">
        <v>1</v>
      </c>
      <c r="AH6" s="3">
        <v>1</v>
      </c>
      <c r="AI6" s="3">
        <v>1</v>
      </c>
      <c r="AJ6" s="3">
        <v>1</v>
      </c>
      <c r="AK6" s="3">
        <v>1</v>
      </c>
      <c r="AL6" s="3">
        <v>2</v>
      </c>
      <c r="AM6" s="3">
        <v>1</v>
      </c>
      <c r="AN6" s="3">
        <v>2</v>
      </c>
      <c r="AO6" s="3">
        <v>2</v>
      </c>
      <c r="AP6" s="3">
        <v>2</v>
      </c>
      <c r="AQ6" s="3">
        <v>1</v>
      </c>
      <c r="AR6" s="3">
        <v>2</v>
      </c>
      <c r="AS6" s="3">
        <v>2</v>
      </c>
      <c r="AT6" s="3">
        <v>2</v>
      </c>
      <c r="AU6" s="3">
        <v>2</v>
      </c>
      <c r="AV6" s="3">
        <v>2</v>
      </c>
      <c r="AW6" s="3">
        <v>2</v>
      </c>
      <c r="AX6" s="3">
        <v>2</v>
      </c>
      <c r="AY6" s="3">
        <v>1</v>
      </c>
      <c r="AZ6" s="3">
        <v>1</v>
      </c>
      <c r="BA6" s="3">
        <v>1</v>
      </c>
      <c r="BB6" s="3">
        <v>1</v>
      </c>
      <c r="BC6" s="3">
        <v>1</v>
      </c>
      <c r="BD6" s="3">
        <v>1</v>
      </c>
      <c r="BE6" s="3">
        <v>1</v>
      </c>
      <c r="BF6" s="3">
        <v>1</v>
      </c>
      <c r="BG6" s="3">
        <v>2</v>
      </c>
      <c r="BH6" s="3">
        <v>1</v>
      </c>
      <c r="BI6" s="3">
        <v>1</v>
      </c>
      <c r="BJ6" s="3">
        <v>1</v>
      </c>
      <c r="BK6" s="3">
        <v>1</v>
      </c>
      <c r="BL6" s="3">
        <v>2</v>
      </c>
      <c r="BM6" s="3">
        <v>2</v>
      </c>
      <c r="BN6" s="3">
        <v>1</v>
      </c>
      <c r="BO6" s="3">
        <v>2</v>
      </c>
      <c r="BP6" s="3">
        <v>2</v>
      </c>
      <c r="BQ6" s="3">
        <v>2</v>
      </c>
      <c r="BR6" s="3">
        <v>3</v>
      </c>
      <c r="BS6" s="3">
        <v>2</v>
      </c>
      <c r="BT6" s="3">
        <v>3</v>
      </c>
      <c r="BU6" s="3">
        <v>2</v>
      </c>
      <c r="BV6" s="3">
        <v>1</v>
      </c>
      <c r="BW6" s="3">
        <v>1</v>
      </c>
      <c r="BX6" s="3">
        <v>1</v>
      </c>
      <c r="BY6" s="3">
        <v>1</v>
      </c>
      <c r="BZ6" s="3">
        <v>1</v>
      </c>
      <c r="CA6" s="3">
        <v>1</v>
      </c>
      <c r="CB6" s="3">
        <v>1</v>
      </c>
      <c r="CC6" s="3">
        <v>1</v>
      </c>
      <c r="CD6" s="3">
        <v>1</v>
      </c>
      <c r="CE6" s="3">
        <v>3</v>
      </c>
      <c r="CF6" s="3">
        <v>3</v>
      </c>
      <c r="CG6" s="3">
        <v>3</v>
      </c>
      <c r="CH6" s="3">
        <v>3</v>
      </c>
      <c r="CI6" s="3">
        <v>3</v>
      </c>
      <c r="CJ6" s="3">
        <v>3</v>
      </c>
      <c r="CK6" s="3">
        <v>2</v>
      </c>
      <c r="CL6" s="3">
        <v>2</v>
      </c>
      <c r="CM6" s="3">
        <v>3</v>
      </c>
      <c r="CN6" s="3">
        <v>3</v>
      </c>
      <c r="CO6" s="3">
        <v>3</v>
      </c>
      <c r="CP6" s="3">
        <v>2</v>
      </c>
      <c r="CQ6" s="3">
        <v>2</v>
      </c>
      <c r="CR6" s="3">
        <v>2</v>
      </c>
      <c r="CS6" s="3">
        <v>3</v>
      </c>
      <c r="CT6" s="3">
        <v>3</v>
      </c>
    </row>
    <row r="7" spans="1:98" ht="15" x14ac:dyDescent="0.25">
      <c r="A7" s="36" t="s">
        <v>129</v>
      </c>
      <c r="B7" s="27">
        <v>75</v>
      </c>
      <c r="C7" s="27">
        <v>72</v>
      </c>
      <c r="D7" s="27">
        <v>56</v>
      </c>
      <c r="E7" s="20">
        <v>65.55</v>
      </c>
      <c r="F7" s="17" t="s">
        <v>166</v>
      </c>
      <c r="G7" s="25">
        <v>2.1520000000000001</v>
      </c>
      <c r="H7" s="21">
        <v>44805</v>
      </c>
      <c r="I7" s="3" t="s">
        <v>103</v>
      </c>
      <c r="J7" s="3" t="s">
        <v>102</v>
      </c>
      <c r="K7" s="5"/>
      <c r="L7" s="3" t="s">
        <v>90</v>
      </c>
      <c r="M7" s="3" t="s">
        <v>125</v>
      </c>
      <c r="N7" s="3" t="s">
        <v>91</v>
      </c>
      <c r="O7" s="5"/>
      <c r="P7" s="3" t="s">
        <v>93</v>
      </c>
      <c r="Q7" s="8" t="s">
        <v>91</v>
      </c>
      <c r="R7" s="38"/>
      <c r="S7" s="3" t="s">
        <v>91</v>
      </c>
      <c r="T7" s="3" t="s">
        <v>101</v>
      </c>
      <c r="U7" s="5"/>
      <c r="V7" s="3" t="s">
        <v>91</v>
      </c>
      <c r="W7" s="5"/>
      <c r="X7" s="3" t="s">
        <v>91</v>
      </c>
      <c r="Y7" s="5"/>
      <c r="Z7" s="3">
        <v>2</v>
      </c>
      <c r="AA7" s="3">
        <v>2</v>
      </c>
      <c r="AB7" s="3">
        <v>2</v>
      </c>
      <c r="AC7" s="3">
        <v>1</v>
      </c>
      <c r="AD7" s="3">
        <v>2</v>
      </c>
      <c r="AE7" s="3">
        <v>1</v>
      </c>
      <c r="AF7" s="3">
        <v>1</v>
      </c>
      <c r="AG7" s="3">
        <v>1</v>
      </c>
      <c r="AH7" s="3">
        <v>1</v>
      </c>
      <c r="AI7" s="3">
        <v>1</v>
      </c>
      <c r="AJ7" s="3">
        <v>2</v>
      </c>
      <c r="AK7" s="3">
        <v>2</v>
      </c>
      <c r="AL7" s="3">
        <v>3</v>
      </c>
      <c r="AM7" s="3">
        <v>1</v>
      </c>
      <c r="AN7" s="3">
        <v>2</v>
      </c>
      <c r="AO7" s="3">
        <v>3</v>
      </c>
      <c r="AP7" s="3">
        <v>2</v>
      </c>
      <c r="AQ7" s="3">
        <v>1</v>
      </c>
      <c r="AR7" s="3">
        <v>1</v>
      </c>
      <c r="AS7" s="3">
        <v>2</v>
      </c>
      <c r="AT7" s="3">
        <v>2</v>
      </c>
      <c r="AU7" s="3">
        <v>2</v>
      </c>
      <c r="AV7" s="3">
        <v>2</v>
      </c>
      <c r="AW7" s="3">
        <v>1</v>
      </c>
      <c r="AX7" s="3">
        <v>1</v>
      </c>
      <c r="AY7" s="3">
        <v>1</v>
      </c>
      <c r="AZ7" s="3">
        <v>1</v>
      </c>
      <c r="BA7" s="3">
        <v>1</v>
      </c>
      <c r="BB7" s="3">
        <v>1</v>
      </c>
      <c r="BC7" s="3">
        <v>2</v>
      </c>
      <c r="BD7" s="3">
        <v>1</v>
      </c>
      <c r="BE7" s="3">
        <v>1</v>
      </c>
      <c r="BF7" s="3">
        <v>1</v>
      </c>
      <c r="BG7" s="3">
        <v>1</v>
      </c>
      <c r="BH7" s="3">
        <v>1</v>
      </c>
      <c r="BI7" s="3">
        <v>2</v>
      </c>
      <c r="BJ7" s="3">
        <v>1</v>
      </c>
      <c r="BK7" s="3">
        <v>1</v>
      </c>
      <c r="BL7" s="3">
        <v>1</v>
      </c>
      <c r="BM7" s="3">
        <v>1</v>
      </c>
      <c r="BN7" s="3">
        <v>1</v>
      </c>
      <c r="BO7" s="3">
        <v>1</v>
      </c>
      <c r="BP7" s="3">
        <v>2</v>
      </c>
      <c r="BQ7" s="3">
        <v>2</v>
      </c>
      <c r="BR7" s="3">
        <v>1</v>
      </c>
      <c r="BS7" s="3">
        <v>1</v>
      </c>
      <c r="BT7" s="3">
        <v>1</v>
      </c>
      <c r="BU7" s="3">
        <v>1</v>
      </c>
      <c r="BV7" s="3">
        <v>2</v>
      </c>
      <c r="BW7" s="3">
        <v>3</v>
      </c>
      <c r="BX7" s="3">
        <v>2</v>
      </c>
      <c r="BY7" s="3">
        <v>4</v>
      </c>
      <c r="BZ7" s="3">
        <v>2</v>
      </c>
      <c r="CA7" s="3">
        <v>3</v>
      </c>
      <c r="CB7" s="3">
        <v>2</v>
      </c>
      <c r="CC7" s="3">
        <v>1</v>
      </c>
      <c r="CD7" s="3">
        <v>2</v>
      </c>
      <c r="CE7" s="3">
        <v>2</v>
      </c>
      <c r="CF7" s="3">
        <v>2</v>
      </c>
      <c r="CG7" s="3">
        <v>2</v>
      </c>
      <c r="CH7" s="3">
        <v>1</v>
      </c>
      <c r="CI7" s="3">
        <v>1</v>
      </c>
      <c r="CJ7" s="3">
        <v>1</v>
      </c>
      <c r="CK7" s="3">
        <v>3</v>
      </c>
      <c r="CL7" s="3">
        <v>3</v>
      </c>
      <c r="CM7" s="3">
        <v>2</v>
      </c>
      <c r="CN7" s="3">
        <v>2</v>
      </c>
      <c r="CO7" s="3">
        <v>3</v>
      </c>
      <c r="CP7" s="3">
        <v>2</v>
      </c>
      <c r="CQ7" s="3">
        <v>1</v>
      </c>
      <c r="CR7" s="3">
        <v>1</v>
      </c>
      <c r="CS7" s="3">
        <v>2</v>
      </c>
      <c r="CT7" s="3">
        <v>2</v>
      </c>
    </row>
    <row r="8" spans="1:98" ht="15" x14ac:dyDescent="0.25">
      <c r="A8" s="19" t="s">
        <v>172</v>
      </c>
      <c r="B8" s="20">
        <v>75</v>
      </c>
      <c r="C8" s="20">
        <v>71</v>
      </c>
      <c r="D8" s="20">
        <v>75</v>
      </c>
      <c r="E8" s="20">
        <v>73.8</v>
      </c>
      <c r="F8" s="23" t="str">
        <f t="shared" ref="F8:F16" si="1">IF(E8&gt;=70,"PASSED", "---")</f>
        <v>PASSED</v>
      </c>
      <c r="G8" s="25">
        <v>1.7134</v>
      </c>
      <c r="H8" s="21">
        <v>45017</v>
      </c>
      <c r="I8" s="3" t="s">
        <v>103</v>
      </c>
      <c r="J8" s="3" t="s">
        <v>102</v>
      </c>
      <c r="K8" s="5"/>
      <c r="L8" s="3" t="s">
        <v>91</v>
      </c>
      <c r="M8" s="5"/>
      <c r="N8" s="3" t="s">
        <v>91</v>
      </c>
      <c r="O8" s="5"/>
      <c r="P8" s="3" t="s">
        <v>99</v>
      </c>
      <c r="Q8" s="3" t="s">
        <v>91</v>
      </c>
      <c r="R8" s="5"/>
      <c r="S8" s="3" t="s">
        <v>91</v>
      </c>
      <c r="T8" s="3" t="s">
        <v>160</v>
      </c>
      <c r="U8" s="5"/>
      <c r="V8" s="3" t="s">
        <v>91</v>
      </c>
      <c r="W8" s="5"/>
      <c r="X8" s="3" t="s">
        <v>91</v>
      </c>
      <c r="Y8" s="5"/>
      <c r="Z8" s="3">
        <v>2</v>
      </c>
      <c r="AA8" s="3">
        <v>2</v>
      </c>
      <c r="AB8" s="3">
        <v>2</v>
      </c>
      <c r="AC8" s="3">
        <v>2</v>
      </c>
      <c r="AD8" s="3">
        <v>2</v>
      </c>
      <c r="AE8" s="3">
        <v>2</v>
      </c>
      <c r="AF8" s="3">
        <v>3</v>
      </c>
      <c r="AG8" s="3">
        <v>2</v>
      </c>
      <c r="AH8" s="3">
        <v>2</v>
      </c>
      <c r="AI8" s="3">
        <v>2</v>
      </c>
      <c r="AJ8" s="3">
        <v>2</v>
      </c>
      <c r="AK8" s="3">
        <v>2</v>
      </c>
      <c r="AL8" s="3">
        <v>2</v>
      </c>
      <c r="AM8" s="3">
        <v>2</v>
      </c>
      <c r="AN8" s="3">
        <v>2</v>
      </c>
      <c r="AO8" s="3">
        <v>2</v>
      </c>
      <c r="AP8" s="3">
        <v>2</v>
      </c>
      <c r="AQ8" s="3">
        <v>2</v>
      </c>
      <c r="AR8" s="3">
        <v>2</v>
      </c>
      <c r="AS8" s="3">
        <v>2</v>
      </c>
      <c r="AT8" s="3">
        <v>2</v>
      </c>
      <c r="AU8" s="3">
        <v>2</v>
      </c>
      <c r="AV8" s="3">
        <v>2</v>
      </c>
      <c r="AW8" s="3">
        <v>2</v>
      </c>
      <c r="AX8" s="3">
        <v>2</v>
      </c>
      <c r="AY8" s="3">
        <v>2</v>
      </c>
      <c r="AZ8" s="3">
        <v>2</v>
      </c>
      <c r="BA8" s="3">
        <v>2</v>
      </c>
      <c r="BB8" s="3">
        <v>2</v>
      </c>
      <c r="BC8" s="3">
        <v>2</v>
      </c>
      <c r="BD8" s="3">
        <v>2</v>
      </c>
      <c r="BE8" s="3">
        <v>2</v>
      </c>
      <c r="BF8" s="3">
        <v>2</v>
      </c>
      <c r="BG8" s="3">
        <v>2</v>
      </c>
      <c r="BH8" s="3">
        <v>2</v>
      </c>
      <c r="BI8" s="3">
        <v>2</v>
      </c>
      <c r="BJ8" s="3">
        <v>2</v>
      </c>
      <c r="BK8" s="3">
        <v>2</v>
      </c>
      <c r="BL8" s="3">
        <v>2</v>
      </c>
      <c r="BM8" s="3">
        <v>2</v>
      </c>
      <c r="BN8" s="3">
        <v>2</v>
      </c>
      <c r="BO8" s="3">
        <v>2</v>
      </c>
      <c r="BP8" s="3">
        <v>2</v>
      </c>
      <c r="BQ8" s="3">
        <v>2</v>
      </c>
      <c r="BR8" s="3">
        <v>2</v>
      </c>
      <c r="BS8" s="3">
        <v>2</v>
      </c>
      <c r="BT8" s="3">
        <v>2</v>
      </c>
      <c r="BU8" s="3">
        <v>2</v>
      </c>
      <c r="BV8" s="3">
        <v>2</v>
      </c>
      <c r="BW8" s="3">
        <v>2</v>
      </c>
      <c r="BX8" s="3">
        <v>2</v>
      </c>
      <c r="BY8" s="3">
        <v>2</v>
      </c>
      <c r="BZ8" s="3">
        <v>2</v>
      </c>
      <c r="CA8" s="3">
        <v>2</v>
      </c>
      <c r="CB8" s="3">
        <v>2</v>
      </c>
      <c r="CC8" s="3">
        <v>2</v>
      </c>
      <c r="CD8" s="3">
        <v>2</v>
      </c>
      <c r="CE8" s="3">
        <v>2</v>
      </c>
      <c r="CF8" s="3">
        <v>2</v>
      </c>
      <c r="CG8" s="3">
        <v>2</v>
      </c>
      <c r="CH8" s="3">
        <v>2</v>
      </c>
      <c r="CI8" s="3">
        <v>2</v>
      </c>
      <c r="CJ8" s="3">
        <v>2</v>
      </c>
      <c r="CK8" s="3">
        <v>2</v>
      </c>
      <c r="CL8" s="3">
        <v>2</v>
      </c>
      <c r="CM8" s="3">
        <v>2</v>
      </c>
      <c r="CN8" s="3">
        <v>2</v>
      </c>
      <c r="CO8" s="3">
        <v>2</v>
      </c>
      <c r="CP8" s="3">
        <v>2</v>
      </c>
      <c r="CQ8" s="3">
        <v>2</v>
      </c>
      <c r="CR8" s="3">
        <v>2</v>
      </c>
      <c r="CS8" s="3">
        <v>2</v>
      </c>
      <c r="CT8" s="3">
        <v>2</v>
      </c>
    </row>
    <row r="9" spans="1:98" ht="12.75" x14ac:dyDescent="0.2">
      <c r="A9" s="19" t="s">
        <v>173</v>
      </c>
      <c r="B9" s="20">
        <v>92</v>
      </c>
      <c r="C9" s="20">
        <v>84</v>
      </c>
      <c r="D9" s="20">
        <v>89</v>
      </c>
      <c r="E9" s="20">
        <v>88.25</v>
      </c>
      <c r="F9" s="23" t="str">
        <f t="shared" si="1"/>
        <v>PASSED</v>
      </c>
      <c r="G9" s="17">
        <v>1.56</v>
      </c>
      <c r="H9" s="21">
        <v>45017</v>
      </c>
      <c r="I9" s="8" t="s">
        <v>103</v>
      </c>
      <c r="J9" s="8" t="s">
        <v>102</v>
      </c>
      <c r="K9" s="38"/>
      <c r="L9" s="8" t="s">
        <v>90</v>
      </c>
      <c r="M9" s="8" t="s">
        <v>144</v>
      </c>
      <c r="N9" s="8" t="s">
        <v>91</v>
      </c>
      <c r="O9" s="38"/>
      <c r="P9" s="8" t="s">
        <v>99</v>
      </c>
      <c r="Q9" s="8" t="s">
        <v>91</v>
      </c>
      <c r="R9" s="38"/>
      <c r="S9" s="8" t="s">
        <v>91</v>
      </c>
      <c r="T9" s="3" t="s">
        <v>160</v>
      </c>
      <c r="U9" s="38"/>
      <c r="V9" s="8" t="s">
        <v>91</v>
      </c>
      <c r="W9" s="38"/>
      <c r="X9" s="8" t="s">
        <v>91</v>
      </c>
      <c r="Y9" s="38"/>
      <c r="Z9" s="8">
        <v>1</v>
      </c>
      <c r="AA9" s="8">
        <v>1</v>
      </c>
      <c r="AB9" s="8">
        <v>1</v>
      </c>
      <c r="AC9" s="8">
        <v>2</v>
      </c>
      <c r="AD9" s="8">
        <v>3</v>
      </c>
      <c r="AE9" s="8">
        <v>1</v>
      </c>
      <c r="AF9" s="8">
        <v>1</v>
      </c>
      <c r="AG9" s="8">
        <v>1</v>
      </c>
      <c r="AH9" s="8">
        <v>1</v>
      </c>
      <c r="AI9" s="8">
        <v>1</v>
      </c>
      <c r="AJ9" s="8">
        <v>1</v>
      </c>
      <c r="AK9" s="8">
        <v>1</v>
      </c>
      <c r="AL9" s="8">
        <v>2</v>
      </c>
      <c r="AM9" s="8">
        <v>2</v>
      </c>
      <c r="AN9" s="8">
        <v>2</v>
      </c>
      <c r="AO9" s="8">
        <v>1</v>
      </c>
      <c r="AP9" s="8">
        <v>1</v>
      </c>
      <c r="AQ9" s="8">
        <v>1</v>
      </c>
      <c r="AR9" s="8">
        <v>1</v>
      </c>
      <c r="AS9" s="8">
        <v>2</v>
      </c>
      <c r="AT9" s="8">
        <v>2</v>
      </c>
      <c r="AU9" s="8">
        <v>1</v>
      </c>
      <c r="AV9" s="8">
        <v>1</v>
      </c>
      <c r="AW9" s="8">
        <v>2</v>
      </c>
      <c r="AX9" s="8">
        <v>1</v>
      </c>
      <c r="AY9" s="8">
        <v>1</v>
      </c>
      <c r="AZ9" s="8">
        <v>1</v>
      </c>
      <c r="BA9" s="8">
        <v>1</v>
      </c>
      <c r="BB9" s="8">
        <v>2</v>
      </c>
      <c r="BC9" s="8">
        <v>1</v>
      </c>
      <c r="BD9" s="8">
        <v>1</v>
      </c>
      <c r="BE9" s="8">
        <v>2</v>
      </c>
      <c r="BF9" s="8">
        <v>2</v>
      </c>
      <c r="BG9" s="8">
        <v>1</v>
      </c>
      <c r="BH9" s="8">
        <v>1</v>
      </c>
      <c r="BI9" s="8">
        <v>2</v>
      </c>
      <c r="BJ9" s="8">
        <v>1</v>
      </c>
      <c r="BK9" s="8">
        <v>1</v>
      </c>
      <c r="BL9" s="8">
        <v>2</v>
      </c>
      <c r="BM9" s="8">
        <v>2</v>
      </c>
      <c r="BN9" s="8">
        <v>1</v>
      </c>
      <c r="BO9" s="8">
        <v>1</v>
      </c>
      <c r="BP9" s="8">
        <v>1</v>
      </c>
      <c r="BQ9" s="8">
        <v>1</v>
      </c>
      <c r="BR9" s="8">
        <v>1</v>
      </c>
      <c r="BS9" s="8">
        <v>1</v>
      </c>
      <c r="BT9" s="8">
        <v>1</v>
      </c>
      <c r="BU9" s="8">
        <v>1</v>
      </c>
      <c r="BV9" s="8">
        <v>3</v>
      </c>
      <c r="BW9" s="8">
        <v>1</v>
      </c>
      <c r="BX9" s="8">
        <v>3</v>
      </c>
      <c r="BY9" s="8">
        <v>2</v>
      </c>
      <c r="BZ9" s="8">
        <v>1</v>
      </c>
      <c r="CA9" s="8">
        <v>2</v>
      </c>
      <c r="CB9" s="8">
        <v>1</v>
      </c>
      <c r="CC9" s="8">
        <v>3</v>
      </c>
      <c r="CD9" s="8">
        <v>1</v>
      </c>
      <c r="CE9" s="8">
        <v>1</v>
      </c>
      <c r="CF9" s="8">
        <v>3</v>
      </c>
      <c r="CG9" s="8">
        <v>3</v>
      </c>
      <c r="CH9" s="8">
        <v>2</v>
      </c>
      <c r="CI9" s="8">
        <v>2</v>
      </c>
      <c r="CJ9" s="8">
        <v>2</v>
      </c>
      <c r="CK9" s="8">
        <v>2</v>
      </c>
      <c r="CL9" s="8">
        <v>2</v>
      </c>
      <c r="CM9" s="8">
        <v>4</v>
      </c>
      <c r="CN9" s="8">
        <v>2</v>
      </c>
      <c r="CO9" s="8">
        <v>2</v>
      </c>
      <c r="CP9" s="8">
        <v>2</v>
      </c>
      <c r="CQ9" s="8">
        <v>2</v>
      </c>
      <c r="CR9" s="8">
        <v>2</v>
      </c>
      <c r="CS9" s="8">
        <v>2</v>
      </c>
      <c r="CT9" s="8">
        <v>1</v>
      </c>
    </row>
    <row r="10" spans="1:98" ht="15" x14ac:dyDescent="0.25">
      <c r="A10" s="19" t="s">
        <v>174</v>
      </c>
      <c r="B10" s="20">
        <v>70</v>
      </c>
      <c r="C10" s="20">
        <v>70</v>
      </c>
      <c r="D10" s="20">
        <v>70</v>
      </c>
      <c r="E10" s="20">
        <v>70</v>
      </c>
      <c r="F10" s="23" t="str">
        <f t="shared" si="1"/>
        <v>PASSED</v>
      </c>
      <c r="G10" s="25">
        <v>2.42</v>
      </c>
      <c r="H10" s="21">
        <v>45017</v>
      </c>
      <c r="I10" s="10" t="s">
        <v>103</v>
      </c>
      <c r="J10" s="10" t="s">
        <v>102</v>
      </c>
      <c r="K10" s="39"/>
      <c r="L10" s="11" t="s">
        <v>90</v>
      </c>
      <c r="M10" s="11" t="s">
        <v>156</v>
      </c>
      <c r="N10" s="11" t="s">
        <v>90</v>
      </c>
      <c r="O10" s="11" t="s">
        <v>123</v>
      </c>
      <c r="P10" s="11" t="s">
        <v>106</v>
      </c>
      <c r="Q10" s="3" t="s">
        <v>91</v>
      </c>
      <c r="R10" s="5"/>
      <c r="S10" s="11" t="s">
        <v>91</v>
      </c>
      <c r="T10" s="3" t="s">
        <v>160</v>
      </c>
      <c r="U10" s="39"/>
      <c r="V10" s="11" t="s">
        <v>91</v>
      </c>
      <c r="W10" s="39"/>
      <c r="X10" s="11" t="s">
        <v>91</v>
      </c>
      <c r="Y10" s="39"/>
      <c r="Z10" s="11">
        <v>2</v>
      </c>
      <c r="AA10" s="11">
        <v>2</v>
      </c>
      <c r="AB10" s="11">
        <v>3</v>
      </c>
      <c r="AC10" s="11">
        <v>3</v>
      </c>
      <c r="AD10" s="11">
        <v>2</v>
      </c>
      <c r="AE10" s="11">
        <v>2</v>
      </c>
      <c r="AF10" s="11">
        <v>2</v>
      </c>
      <c r="AG10" s="11">
        <v>3</v>
      </c>
      <c r="AH10" s="11">
        <v>2</v>
      </c>
      <c r="AI10" s="11">
        <v>2</v>
      </c>
      <c r="AJ10" s="11">
        <v>3</v>
      </c>
      <c r="AK10" s="11">
        <v>2</v>
      </c>
      <c r="AL10" s="11">
        <v>3</v>
      </c>
      <c r="AM10" s="11">
        <v>2</v>
      </c>
      <c r="AN10" s="11">
        <v>2</v>
      </c>
      <c r="AO10" s="11">
        <v>3</v>
      </c>
      <c r="AP10" s="11">
        <v>3</v>
      </c>
      <c r="AQ10" s="11">
        <v>2</v>
      </c>
      <c r="AR10" s="11">
        <v>2</v>
      </c>
      <c r="AS10" s="11">
        <v>2</v>
      </c>
      <c r="AT10" s="11">
        <v>3</v>
      </c>
      <c r="AU10" s="11">
        <v>3</v>
      </c>
      <c r="AV10" s="11">
        <v>3</v>
      </c>
      <c r="AW10" s="11">
        <v>2</v>
      </c>
      <c r="AX10" s="11">
        <v>2</v>
      </c>
      <c r="AY10" s="11">
        <v>3</v>
      </c>
      <c r="AZ10" s="11">
        <v>2</v>
      </c>
      <c r="BA10" s="11">
        <v>3</v>
      </c>
      <c r="BB10" s="11">
        <v>3</v>
      </c>
      <c r="BC10" s="11">
        <v>3</v>
      </c>
      <c r="BD10" s="11">
        <v>3</v>
      </c>
      <c r="BE10" s="11">
        <v>3</v>
      </c>
      <c r="BF10" s="11">
        <v>3</v>
      </c>
      <c r="BG10" s="11">
        <v>3</v>
      </c>
      <c r="BH10" s="11">
        <v>2</v>
      </c>
      <c r="BI10" s="11">
        <v>2</v>
      </c>
      <c r="BJ10" s="11">
        <v>3</v>
      </c>
      <c r="BK10" s="11">
        <v>3</v>
      </c>
      <c r="BL10" s="11">
        <v>3</v>
      </c>
      <c r="BM10" s="11">
        <v>2</v>
      </c>
      <c r="BN10" s="11">
        <v>3</v>
      </c>
      <c r="BO10" s="11">
        <v>3</v>
      </c>
      <c r="BP10" s="11">
        <v>2</v>
      </c>
      <c r="BQ10" s="11">
        <v>2</v>
      </c>
      <c r="BR10" s="11">
        <v>2</v>
      </c>
      <c r="BS10" s="11">
        <v>2</v>
      </c>
      <c r="BT10" s="11">
        <v>2</v>
      </c>
      <c r="BU10" s="11">
        <v>2</v>
      </c>
      <c r="BV10" s="11">
        <v>2</v>
      </c>
      <c r="BW10" s="11">
        <v>2</v>
      </c>
      <c r="BX10" s="11">
        <v>2</v>
      </c>
      <c r="BY10" s="11">
        <v>2</v>
      </c>
      <c r="BZ10" s="11">
        <v>2</v>
      </c>
      <c r="CA10" s="11">
        <v>2</v>
      </c>
      <c r="CB10" s="11">
        <v>2</v>
      </c>
      <c r="CC10" s="11">
        <v>2</v>
      </c>
      <c r="CD10" s="11">
        <v>2</v>
      </c>
      <c r="CE10" s="11">
        <v>2</v>
      </c>
      <c r="CF10" s="11">
        <v>3</v>
      </c>
      <c r="CG10" s="11">
        <v>3</v>
      </c>
      <c r="CH10" s="11">
        <v>3</v>
      </c>
      <c r="CI10" s="11">
        <v>3</v>
      </c>
      <c r="CJ10" s="11">
        <v>3</v>
      </c>
      <c r="CK10" s="11">
        <v>3</v>
      </c>
      <c r="CL10" s="11">
        <v>3</v>
      </c>
      <c r="CM10" s="11">
        <v>3</v>
      </c>
      <c r="CN10" s="11">
        <v>2</v>
      </c>
      <c r="CO10" s="11">
        <v>2</v>
      </c>
      <c r="CP10" s="11">
        <v>2</v>
      </c>
      <c r="CQ10" s="11">
        <v>2</v>
      </c>
      <c r="CR10" s="11">
        <v>2</v>
      </c>
      <c r="CS10" s="11">
        <v>2</v>
      </c>
      <c r="CT10" s="11">
        <v>2</v>
      </c>
    </row>
    <row r="11" spans="1:98" ht="15" x14ac:dyDescent="0.25">
      <c r="A11" s="19" t="s">
        <v>175</v>
      </c>
      <c r="B11" s="20">
        <v>78</v>
      </c>
      <c r="C11" s="20">
        <v>66</v>
      </c>
      <c r="D11" s="20">
        <v>75</v>
      </c>
      <c r="E11" s="20">
        <v>73.05</v>
      </c>
      <c r="F11" s="23" t="str">
        <f t="shared" si="1"/>
        <v>PASSED</v>
      </c>
      <c r="G11" s="25">
        <v>1.6147</v>
      </c>
      <c r="H11" s="21">
        <v>45017</v>
      </c>
      <c r="I11" s="8" t="s">
        <v>103</v>
      </c>
      <c r="J11" s="8" t="s">
        <v>102</v>
      </c>
      <c r="K11" s="38"/>
      <c r="L11" s="8" t="s">
        <v>91</v>
      </c>
      <c r="M11" s="38"/>
      <c r="N11" s="8" t="s">
        <v>91</v>
      </c>
      <c r="O11" s="38"/>
      <c r="P11" s="8" t="s">
        <v>99</v>
      </c>
      <c r="Q11" s="8" t="s">
        <v>91</v>
      </c>
      <c r="R11" s="38"/>
      <c r="S11" s="8" t="s">
        <v>91</v>
      </c>
      <c r="T11" s="3" t="s">
        <v>101</v>
      </c>
      <c r="U11" s="38"/>
      <c r="V11" s="8" t="s">
        <v>90</v>
      </c>
      <c r="W11" s="8" t="s">
        <v>122</v>
      </c>
      <c r="X11" s="8" t="s">
        <v>91</v>
      </c>
      <c r="Y11" s="38"/>
      <c r="Z11" s="8">
        <v>2</v>
      </c>
      <c r="AA11" s="8">
        <v>1</v>
      </c>
      <c r="AB11" s="8">
        <v>1</v>
      </c>
      <c r="AC11" s="8">
        <v>2</v>
      </c>
      <c r="AD11" s="8">
        <v>2</v>
      </c>
      <c r="AE11" s="8">
        <v>2</v>
      </c>
      <c r="AF11" s="8">
        <v>2</v>
      </c>
      <c r="AG11" s="8">
        <v>2</v>
      </c>
      <c r="AH11" s="8">
        <v>2</v>
      </c>
      <c r="AI11" s="8">
        <v>2</v>
      </c>
      <c r="AJ11" s="8">
        <v>2</v>
      </c>
      <c r="AK11" s="8">
        <v>2</v>
      </c>
      <c r="AL11" s="8">
        <v>2</v>
      </c>
      <c r="AM11" s="8">
        <v>2</v>
      </c>
      <c r="AN11" s="8">
        <v>2</v>
      </c>
      <c r="AO11" s="8">
        <v>2</v>
      </c>
      <c r="AP11" s="8">
        <v>2</v>
      </c>
      <c r="AQ11" s="8">
        <v>1</v>
      </c>
      <c r="AR11" s="8">
        <v>2</v>
      </c>
      <c r="AS11" s="8">
        <v>2</v>
      </c>
      <c r="AT11" s="8">
        <v>2</v>
      </c>
      <c r="AU11" s="8">
        <v>3</v>
      </c>
      <c r="AV11" s="8">
        <v>2</v>
      </c>
      <c r="AW11" s="8">
        <v>1</v>
      </c>
      <c r="AX11" s="8">
        <v>1</v>
      </c>
      <c r="AY11" s="8">
        <v>1</v>
      </c>
      <c r="AZ11" s="8">
        <v>1</v>
      </c>
      <c r="BA11" s="8">
        <v>3</v>
      </c>
      <c r="BB11" s="8">
        <v>3</v>
      </c>
      <c r="BC11" s="8">
        <v>3</v>
      </c>
      <c r="BD11" s="8">
        <v>2</v>
      </c>
      <c r="BE11" s="8">
        <v>2</v>
      </c>
      <c r="BF11" s="8">
        <v>2</v>
      </c>
      <c r="BG11" s="8">
        <v>2</v>
      </c>
      <c r="BH11" s="8">
        <v>2</v>
      </c>
      <c r="BI11" s="8">
        <v>1</v>
      </c>
      <c r="BJ11" s="8">
        <v>3</v>
      </c>
      <c r="BK11" s="8">
        <v>1</v>
      </c>
      <c r="BL11" s="8">
        <v>2</v>
      </c>
      <c r="BM11" s="8">
        <v>2</v>
      </c>
      <c r="BN11" s="8">
        <v>1</v>
      </c>
      <c r="BO11" s="8">
        <v>1</v>
      </c>
      <c r="BP11" s="8">
        <v>1</v>
      </c>
      <c r="BQ11" s="8">
        <v>2</v>
      </c>
      <c r="BR11" s="8">
        <v>2</v>
      </c>
      <c r="BS11" s="8">
        <v>1</v>
      </c>
      <c r="BT11" s="8">
        <v>2</v>
      </c>
      <c r="BU11" s="8">
        <v>1</v>
      </c>
      <c r="BV11" s="8">
        <v>2</v>
      </c>
      <c r="BW11" s="8">
        <v>2</v>
      </c>
      <c r="BX11" s="8">
        <v>2</v>
      </c>
      <c r="BY11" s="8">
        <v>2</v>
      </c>
      <c r="BZ11" s="8">
        <v>2</v>
      </c>
      <c r="CA11" s="8">
        <v>2</v>
      </c>
      <c r="CB11" s="8">
        <v>2</v>
      </c>
      <c r="CC11" s="8">
        <v>2</v>
      </c>
      <c r="CD11" s="8">
        <v>2</v>
      </c>
      <c r="CE11" s="8">
        <v>2</v>
      </c>
      <c r="CF11" s="8">
        <v>2</v>
      </c>
      <c r="CG11" s="8">
        <v>2</v>
      </c>
      <c r="CH11" s="8">
        <v>2</v>
      </c>
      <c r="CI11" s="8">
        <v>2</v>
      </c>
      <c r="CJ11" s="8">
        <v>2</v>
      </c>
      <c r="CK11" s="8">
        <v>2</v>
      </c>
      <c r="CL11" s="8">
        <v>2</v>
      </c>
      <c r="CM11" s="8">
        <v>2</v>
      </c>
      <c r="CN11" s="8">
        <v>2</v>
      </c>
      <c r="CO11" s="8">
        <v>2</v>
      </c>
      <c r="CP11" s="8">
        <v>2</v>
      </c>
      <c r="CQ11" s="8">
        <v>2</v>
      </c>
      <c r="CR11" s="8">
        <v>2</v>
      </c>
      <c r="CS11" s="8">
        <v>2</v>
      </c>
      <c r="CT11" s="8">
        <v>2</v>
      </c>
    </row>
    <row r="12" spans="1:98" ht="15" x14ac:dyDescent="0.25">
      <c r="A12" s="19" t="s">
        <v>176</v>
      </c>
      <c r="B12" s="20">
        <v>84</v>
      </c>
      <c r="C12" s="20">
        <v>80</v>
      </c>
      <c r="D12" s="20">
        <v>77</v>
      </c>
      <c r="E12" s="20">
        <v>79.650000000000006</v>
      </c>
      <c r="F12" s="23" t="str">
        <f t="shared" si="1"/>
        <v>PASSED</v>
      </c>
      <c r="G12" s="25">
        <v>1.6765000000000001</v>
      </c>
      <c r="H12" s="21">
        <v>45017</v>
      </c>
      <c r="I12" s="8" t="s">
        <v>103</v>
      </c>
      <c r="J12" s="8" t="s">
        <v>102</v>
      </c>
      <c r="K12" s="38"/>
      <c r="L12" s="8" t="s">
        <v>90</v>
      </c>
      <c r="M12" s="8" t="s">
        <v>97</v>
      </c>
      <c r="N12" s="8" t="s">
        <v>91</v>
      </c>
      <c r="O12" s="38"/>
      <c r="P12" s="8" t="s">
        <v>99</v>
      </c>
      <c r="Q12" s="3" t="s">
        <v>91</v>
      </c>
      <c r="R12" s="5"/>
      <c r="S12" s="8" t="s">
        <v>91</v>
      </c>
      <c r="T12" s="3" t="s">
        <v>160</v>
      </c>
      <c r="U12" s="38"/>
      <c r="V12" s="8" t="s">
        <v>90</v>
      </c>
      <c r="W12" s="8" t="s">
        <v>104</v>
      </c>
      <c r="X12" s="8" t="s">
        <v>91</v>
      </c>
      <c r="Y12" s="38"/>
      <c r="Z12" s="8">
        <v>3</v>
      </c>
      <c r="AA12" s="8">
        <v>2</v>
      </c>
      <c r="AB12" s="8">
        <v>2</v>
      </c>
      <c r="AC12" s="8">
        <v>2</v>
      </c>
      <c r="AD12" s="8">
        <v>2</v>
      </c>
      <c r="AE12" s="8">
        <v>2</v>
      </c>
      <c r="AF12" s="8">
        <v>3</v>
      </c>
      <c r="AG12" s="8">
        <v>2</v>
      </c>
      <c r="AH12" s="8">
        <v>2</v>
      </c>
      <c r="AI12" s="8">
        <v>2</v>
      </c>
      <c r="AJ12" s="8">
        <v>2</v>
      </c>
      <c r="AK12" s="8">
        <v>2</v>
      </c>
      <c r="AL12" s="8">
        <v>3</v>
      </c>
      <c r="AM12" s="8">
        <v>3</v>
      </c>
      <c r="AN12" s="8">
        <v>3</v>
      </c>
      <c r="AO12" s="8">
        <v>3</v>
      </c>
      <c r="AP12" s="8">
        <v>3</v>
      </c>
      <c r="AQ12" s="8">
        <v>3</v>
      </c>
      <c r="AR12" s="8">
        <v>3</v>
      </c>
      <c r="AS12" s="8">
        <v>2</v>
      </c>
      <c r="AT12" s="8">
        <v>3</v>
      </c>
      <c r="AU12" s="8">
        <v>3</v>
      </c>
      <c r="AV12" s="8">
        <v>3</v>
      </c>
      <c r="AW12" s="8">
        <v>3</v>
      </c>
      <c r="AX12" s="8">
        <v>3</v>
      </c>
      <c r="AY12" s="8">
        <v>3</v>
      </c>
      <c r="AZ12" s="8">
        <v>2</v>
      </c>
      <c r="BA12" s="8">
        <v>3</v>
      </c>
      <c r="BB12" s="8">
        <v>2</v>
      </c>
      <c r="BC12" s="8">
        <v>2</v>
      </c>
      <c r="BD12" s="8">
        <v>2</v>
      </c>
      <c r="BE12" s="8">
        <v>3</v>
      </c>
      <c r="BF12" s="8">
        <v>2</v>
      </c>
      <c r="BG12" s="8">
        <v>3</v>
      </c>
      <c r="BH12" s="8">
        <v>3</v>
      </c>
      <c r="BI12" s="8">
        <v>2</v>
      </c>
      <c r="BJ12" s="8">
        <v>2</v>
      </c>
      <c r="BK12" s="8">
        <v>4</v>
      </c>
      <c r="BL12" s="8">
        <v>3</v>
      </c>
      <c r="BM12" s="8">
        <v>3</v>
      </c>
      <c r="BN12" s="8">
        <v>2</v>
      </c>
      <c r="BO12" s="8">
        <v>2</v>
      </c>
      <c r="BP12" s="8">
        <v>2</v>
      </c>
      <c r="BQ12" s="8">
        <v>2</v>
      </c>
      <c r="BR12" s="8">
        <v>4</v>
      </c>
      <c r="BS12" s="8">
        <v>2</v>
      </c>
      <c r="BT12" s="8">
        <v>2</v>
      </c>
      <c r="BU12" s="8">
        <v>1</v>
      </c>
      <c r="BV12" s="8">
        <v>2</v>
      </c>
      <c r="BW12" s="8">
        <v>2</v>
      </c>
      <c r="BX12" s="8">
        <v>2</v>
      </c>
      <c r="BY12" s="8">
        <v>2</v>
      </c>
      <c r="BZ12" s="8">
        <v>2</v>
      </c>
      <c r="CA12" s="8">
        <v>2</v>
      </c>
      <c r="CB12" s="8">
        <v>3</v>
      </c>
      <c r="CC12" s="8">
        <v>2</v>
      </c>
      <c r="CD12" s="8">
        <v>2</v>
      </c>
      <c r="CE12" s="8">
        <v>2</v>
      </c>
      <c r="CF12" s="8">
        <v>4</v>
      </c>
      <c r="CG12" s="8">
        <v>3</v>
      </c>
      <c r="CH12" s="8">
        <v>4</v>
      </c>
      <c r="CI12" s="8">
        <v>4</v>
      </c>
      <c r="CJ12" s="8">
        <v>4</v>
      </c>
      <c r="CK12" s="8">
        <v>4</v>
      </c>
      <c r="CL12" s="8">
        <v>4</v>
      </c>
      <c r="CM12" s="8">
        <v>4</v>
      </c>
      <c r="CN12" s="8">
        <v>2</v>
      </c>
      <c r="CO12" s="8">
        <v>2</v>
      </c>
      <c r="CP12" s="8">
        <v>3</v>
      </c>
      <c r="CQ12" s="8">
        <v>3</v>
      </c>
      <c r="CR12" s="8">
        <v>2</v>
      </c>
      <c r="CS12" s="8">
        <v>2</v>
      </c>
      <c r="CT12" s="8">
        <v>2</v>
      </c>
    </row>
    <row r="13" spans="1:98" ht="15" x14ac:dyDescent="0.25">
      <c r="A13" s="19" t="s">
        <v>177</v>
      </c>
      <c r="B13" s="20">
        <v>89</v>
      </c>
      <c r="C13" s="20">
        <v>83</v>
      </c>
      <c r="D13" s="20">
        <v>87</v>
      </c>
      <c r="E13" s="20">
        <v>86.3</v>
      </c>
      <c r="F13" s="23" t="str">
        <f t="shared" si="1"/>
        <v>PASSED</v>
      </c>
      <c r="G13" s="25">
        <v>1.6351</v>
      </c>
      <c r="H13" s="21">
        <v>45017</v>
      </c>
      <c r="I13" s="8" t="s">
        <v>103</v>
      </c>
      <c r="J13" s="8" t="s">
        <v>102</v>
      </c>
      <c r="K13" s="38"/>
      <c r="L13" s="8" t="s">
        <v>91</v>
      </c>
      <c r="M13" s="8" t="s">
        <v>96</v>
      </c>
      <c r="N13" s="8" t="s">
        <v>91</v>
      </c>
      <c r="O13" s="8" t="s">
        <v>96</v>
      </c>
      <c r="P13" s="8" t="s">
        <v>99</v>
      </c>
      <c r="Q13" s="8" t="s">
        <v>91</v>
      </c>
      <c r="R13" s="38"/>
      <c r="S13" s="8" t="s">
        <v>91</v>
      </c>
      <c r="T13" s="3" t="s">
        <v>101</v>
      </c>
      <c r="U13" s="38"/>
      <c r="V13" s="8" t="s">
        <v>91</v>
      </c>
      <c r="W13" s="8" t="s">
        <v>96</v>
      </c>
      <c r="X13" s="8" t="s">
        <v>91</v>
      </c>
      <c r="Y13" s="38"/>
      <c r="Z13" s="8">
        <v>2</v>
      </c>
      <c r="AA13" s="8">
        <v>2</v>
      </c>
      <c r="AB13" s="8">
        <v>2</v>
      </c>
      <c r="AC13" s="8">
        <v>2</v>
      </c>
      <c r="AD13" s="8">
        <v>2</v>
      </c>
      <c r="AE13" s="8">
        <v>2</v>
      </c>
      <c r="AF13" s="8">
        <v>2</v>
      </c>
      <c r="AG13" s="8">
        <v>2</v>
      </c>
      <c r="AH13" s="8">
        <v>2</v>
      </c>
      <c r="AI13" s="8">
        <v>1</v>
      </c>
      <c r="AJ13" s="8">
        <v>1</v>
      </c>
      <c r="AK13" s="8">
        <v>1</v>
      </c>
      <c r="AL13" s="8">
        <v>2</v>
      </c>
      <c r="AM13" s="8">
        <v>2</v>
      </c>
      <c r="AN13" s="8">
        <v>2</v>
      </c>
      <c r="AO13" s="8">
        <v>2</v>
      </c>
      <c r="AP13" s="8">
        <v>2</v>
      </c>
      <c r="AQ13" s="8">
        <v>2</v>
      </c>
      <c r="AR13" s="8">
        <v>1</v>
      </c>
      <c r="AS13" s="8">
        <v>2</v>
      </c>
      <c r="AT13" s="8">
        <v>2</v>
      </c>
      <c r="AU13" s="8">
        <v>2</v>
      </c>
      <c r="AV13" s="8">
        <v>2</v>
      </c>
      <c r="AW13" s="8">
        <v>1</v>
      </c>
      <c r="AX13" s="8">
        <v>2</v>
      </c>
      <c r="AY13" s="8">
        <v>1</v>
      </c>
      <c r="AZ13" s="8">
        <v>1</v>
      </c>
      <c r="BA13" s="8">
        <v>3</v>
      </c>
      <c r="BB13" s="8">
        <v>2</v>
      </c>
      <c r="BC13" s="8">
        <v>2</v>
      </c>
      <c r="BD13" s="8">
        <v>1</v>
      </c>
      <c r="BE13" s="8">
        <v>1</v>
      </c>
      <c r="BF13" s="8">
        <v>3</v>
      </c>
      <c r="BG13" s="8">
        <v>1</v>
      </c>
      <c r="BH13" s="8">
        <v>1</v>
      </c>
      <c r="BI13" s="8">
        <v>1</v>
      </c>
      <c r="BJ13" s="8">
        <v>1</v>
      </c>
      <c r="BK13" s="8">
        <v>1</v>
      </c>
      <c r="BL13" s="8">
        <v>2</v>
      </c>
      <c r="BM13" s="8">
        <v>1</v>
      </c>
      <c r="BN13" s="8">
        <v>2</v>
      </c>
      <c r="BO13" s="8">
        <v>1</v>
      </c>
      <c r="BP13" s="8">
        <v>1</v>
      </c>
      <c r="BQ13" s="8">
        <v>1</v>
      </c>
      <c r="BR13" s="8">
        <v>3</v>
      </c>
      <c r="BS13" s="8">
        <v>1</v>
      </c>
      <c r="BT13" s="8">
        <v>3</v>
      </c>
      <c r="BU13" s="8">
        <v>4</v>
      </c>
      <c r="BV13" s="8">
        <v>1</v>
      </c>
      <c r="BW13" s="8">
        <v>1</v>
      </c>
      <c r="BX13" s="8">
        <v>1</v>
      </c>
      <c r="BY13" s="8">
        <v>1</v>
      </c>
      <c r="BZ13" s="8">
        <v>1</v>
      </c>
      <c r="CA13" s="8">
        <v>1</v>
      </c>
      <c r="CB13" s="8">
        <v>1</v>
      </c>
      <c r="CC13" s="8">
        <v>1</v>
      </c>
      <c r="CD13" s="8">
        <v>1</v>
      </c>
      <c r="CE13" s="8">
        <v>1</v>
      </c>
      <c r="CF13" s="8">
        <v>1</v>
      </c>
      <c r="CG13" s="8">
        <v>1</v>
      </c>
      <c r="CH13" s="8">
        <v>1</v>
      </c>
      <c r="CI13" s="8">
        <v>1</v>
      </c>
      <c r="CJ13" s="8">
        <v>1</v>
      </c>
      <c r="CK13" s="8">
        <v>1</v>
      </c>
      <c r="CL13" s="8">
        <v>1</v>
      </c>
      <c r="CM13" s="8">
        <v>2</v>
      </c>
      <c r="CN13" s="8">
        <v>1</v>
      </c>
      <c r="CO13" s="8">
        <v>1</v>
      </c>
      <c r="CP13" s="8">
        <v>1</v>
      </c>
      <c r="CQ13" s="8">
        <v>1</v>
      </c>
      <c r="CR13" s="8">
        <v>1</v>
      </c>
      <c r="CS13" s="8">
        <v>1</v>
      </c>
      <c r="CT13" s="8">
        <v>1</v>
      </c>
    </row>
    <row r="14" spans="1:98" ht="15" x14ac:dyDescent="0.25">
      <c r="A14" s="19" t="s">
        <v>178</v>
      </c>
      <c r="B14" s="20">
        <v>90</v>
      </c>
      <c r="C14" s="20">
        <v>84</v>
      </c>
      <c r="D14" s="20">
        <v>90</v>
      </c>
      <c r="E14" s="20">
        <v>88.2</v>
      </c>
      <c r="F14" s="23" t="str">
        <f t="shared" si="1"/>
        <v>PASSED</v>
      </c>
      <c r="G14" s="25">
        <v>1.5153000000000001</v>
      </c>
      <c r="H14" s="21">
        <v>45017</v>
      </c>
      <c r="I14" s="3" t="s">
        <v>103</v>
      </c>
      <c r="J14" s="3" t="s">
        <v>89</v>
      </c>
      <c r="K14" s="3" t="s">
        <v>119</v>
      </c>
      <c r="L14" s="3" t="s">
        <v>91</v>
      </c>
      <c r="M14" s="5"/>
      <c r="N14" s="3" t="s">
        <v>90</v>
      </c>
      <c r="O14" s="3" t="s">
        <v>117</v>
      </c>
      <c r="P14" s="3" t="s">
        <v>106</v>
      </c>
      <c r="Q14" s="3" t="s">
        <v>91</v>
      </c>
      <c r="R14" s="5"/>
      <c r="S14" s="3" t="s">
        <v>91</v>
      </c>
      <c r="T14" s="3" t="s">
        <v>101</v>
      </c>
      <c r="U14" s="5"/>
      <c r="V14" s="3" t="s">
        <v>91</v>
      </c>
      <c r="W14" s="5"/>
      <c r="X14" s="3" t="s">
        <v>91</v>
      </c>
      <c r="Y14" s="5"/>
      <c r="Z14" s="3">
        <v>3</v>
      </c>
      <c r="AA14" s="3">
        <v>3</v>
      </c>
      <c r="AB14" s="3">
        <v>3</v>
      </c>
      <c r="AC14" s="3">
        <v>3</v>
      </c>
      <c r="AD14" s="3">
        <v>3</v>
      </c>
      <c r="AE14" s="3">
        <v>3</v>
      </c>
      <c r="AF14" s="3">
        <v>3</v>
      </c>
      <c r="AG14" s="3">
        <v>3</v>
      </c>
      <c r="AH14" s="3">
        <v>3</v>
      </c>
      <c r="AI14" s="3">
        <v>3</v>
      </c>
      <c r="AJ14" s="3">
        <v>3</v>
      </c>
      <c r="AK14" s="3">
        <v>3</v>
      </c>
      <c r="AL14" s="3">
        <v>3</v>
      </c>
      <c r="AM14" s="3">
        <v>3</v>
      </c>
      <c r="AN14" s="3">
        <v>3</v>
      </c>
      <c r="AO14" s="3">
        <v>3</v>
      </c>
      <c r="AP14" s="3">
        <v>3</v>
      </c>
      <c r="AQ14" s="3">
        <v>3</v>
      </c>
      <c r="AR14" s="3">
        <v>3</v>
      </c>
      <c r="AS14" s="3">
        <v>3</v>
      </c>
      <c r="AT14" s="3">
        <v>3</v>
      </c>
      <c r="AU14" s="3">
        <v>3</v>
      </c>
      <c r="AV14" s="3">
        <v>3</v>
      </c>
      <c r="AW14" s="3">
        <v>3</v>
      </c>
      <c r="AX14" s="3">
        <v>4</v>
      </c>
      <c r="AY14" s="3">
        <v>4</v>
      </c>
      <c r="AZ14" s="3">
        <v>4</v>
      </c>
      <c r="BA14" s="3">
        <v>4</v>
      </c>
      <c r="BB14" s="3">
        <v>4</v>
      </c>
      <c r="BC14" s="3">
        <v>4</v>
      </c>
      <c r="BD14" s="3">
        <v>4</v>
      </c>
      <c r="BE14" s="3">
        <v>4</v>
      </c>
      <c r="BF14" s="3">
        <v>3</v>
      </c>
      <c r="BG14" s="3">
        <v>3</v>
      </c>
      <c r="BH14" s="3">
        <v>3</v>
      </c>
      <c r="BI14" s="3">
        <v>3</v>
      </c>
      <c r="BJ14" s="3">
        <v>3</v>
      </c>
      <c r="BK14" s="3">
        <v>3</v>
      </c>
      <c r="BL14" s="3">
        <v>3</v>
      </c>
      <c r="BM14" s="3">
        <v>3</v>
      </c>
      <c r="BN14" s="3">
        <v>4</v>
      </c>
      <c r="BO14" s="3">
        <v>4</v>
      </c>
      <c r="BP14" s="3">
        <v>4</v>
      </c>
      <c r="BQ14" s="3">
        <v>2</v>
      </c>
      <c r="BR14" s="3">
        <v>2</v>
      </c>
      <c r="BS14" s="3">
        <v>2</v>
      </c>
      <c r="BT14" s="3">
        <v>3</v>
      </c>
      <c r="BU14" s="3">
        <v>2</v>
      </c>
      <c r="BV14" s="3">
        <v>3</v>
      </c>
      <c r="BW14" s="3">
        <v>3</v>
      </c>
      <c r="BX14" s="3">
        <v>3</v>
      </c>
      <c r="BY14" s="3">
        <v>3</v>
      </c>
      <c r="BZ14" s="3">
        <v>3</v>
      </c>
      <c r="CA14" s="3">
        <v>3</v>
      </c>
      <c r="CB14" s="3">
        <v>3</v>
      </c>
      <c r="CC14" s="3">
        <v>3</v>
      </c>
      <c r="CD14" s="3">
        <v>3</v>
      </c>
      <c r="CE14" s="3">
        <v>3</v>
      </c>
      <c r="CF14" s="3">
        <v>3</v>
      </c>
      <c r="CG14" s="3">
        <v>3</v>
      </c>
      <c r="CH14" s="3">
        <v>3</v>
      </c>
      <c r="CI14" s="3">
        <v>3</v>
      </c>
      <c r="CJ14" s="3">
        <v>3</v>
      </c>
      <c r="CK14" s="3">
        <v>3</v>
      </c>
      <c r="CL14" s="3">
        <v>3</v>
      </c>
      <c r="CM14" s="3">
        <v>3</v>
      </c>
      <c r="CN14" s="3">
        <v>3</v>
      </c>
      <c r="CO14" s="3">
        <v>3</v>
      </c>
      <c r="CP14" s="3">
        <v>3</v>
      </c>
      <c r="CQ14" s="3">
        <v>3</v>
      </c>
      <c r="CR14" s="3">
        <v>3</v>
      </c>
      <c r="CS14" s="3">
        <v>3</v>
      </c>
      <c r="CT14" s="3">
        <v>3</v>
      </c>
    </row>
    <row r="15" spans="1:98" ht="15" x14ac:dyDescent="0.25">
      <c r="A15" s="19" t="s">
        <v>179</v>
      </c>
      <c r="B15" s="20">
        <v>81</v>
      </c>
      <c r="C15" s="20">
        <v>77</v>
      </c>
      <c r="D15" s="20">
        <v>82</v>
      </c>
      <c r="E15" s="20">
        <v>80.25</v>
      </c>
      <c r="F15" s="23" t="str">
        <f t="shared" si="1"/>
        <v>PASSED</v>
      </c>
      <c r="G15" s="25">
        <v>1.7869999999999999</v>
      </c>
      <c r="H15" s="21">
        <v>45017</v>
      </c>
      <c r="I15" s="8" t="s">
        <v>103</v>
      </c>
      <c r="J15" s="8" t="s">
        <v>102</v>
      </c>
      <c r="K15" s="38"/>
      <c r="L15" s="8" t="s">
        <v>90</v>
      </c>
      <c r="M15" s="8" t="s">
        <v>109</v>
      </c>
      <c r="N15" s="8" t="s">
        <v>91</v>
      </c>
      <c r="O15" s="38"/>
      <c r="P15" s="8" t="s">
        <v>99</v>
      </c>
      <c r="Q15" s="8" t="s">
        <v>91</v>
      </c>
      <c r="R15" s="38"/>
      <c r="S15" s="8" t="s">
        <v>91</v>
      </c>
      <c r="T15" s="8" t="s">
        <v>101</v>
      </c>
      <c r="U15" s="38"/>
      <c r="V15" s="8" t="s">
        <v>91</v>
      </c>
      <c r="W15" s="38"/>
      <c r="X15" s="8" t="s">
        <v>91</v>
      </c>
      <c r="Y15" s="38"/>
      <c r="Z15" s="8">
        <v>1</v>
      </c>
      <c r="AA15" s="8">
        <v>1</v>
      </c>
      <c r="AB15" s="8">
        <v>2</v>
      </c>
      <c r="AC15" s="8">
        <v>2</v>
      </c>
      <c r="AD15" s="8">
        <v>2</v>
      </c>
      <c r="AE15" s="8">
        <v>1</v>
      </c>
      <c r="AF15" s="8">
        <v>2</v>
      </c>
      <c r="AG15" s="8">
        <v>2</v>
      </c>
      <c r="AH15" s="8">
        <v>2</v>
      </c>
      <c r="AI15" s="8">
        <v>2</v>
      </c>
      <c r="AJ15" s="8">
        <v>2</v>
      </c>
      <c r="AK15" s="8">
        <v>2</v>
      </c>
      <c r="AL15" s="8">
        <v>2</v>
      </c>
      <c r="AM15" s="8">
        <v>2</v>
      </c>
      <c r="AN15" s="8">
        <v>2</v>
      </c>
      <c r="AO15" s="8">
        <v>2</v>
      </c>
      <c r="AP15" s="8">
        <v>2</v>
      </c>
      <c r="AQ15" s="8">
        <v>2</v>
      </c>
      <c r="AR15" s="8">
        <v>2</v>
      </c>
      <c r="AS15" s="8">
        <v>2</v>
      </c>
      <c r="AT15" s="8">
        <v>2</v>
      </c>
      <c r="AU15" s="8">
        <v>2</v>
      </c>
      <c r="AV15" s="8">
        <v>2</v>
      </c>
      <c r="AW15" s="8">
        <v>2</v>
      </c>
      <c r="AX15" s="8">
        <v>1</v>
      </c>
      <c r="AY15" s="8">
        <v>1</v>
      </c>
      <c r="AZ15" s="8">
        <v>1</v>
      </c>
      <c r="BA15" s="8">
        <v>1</v>
      </c>
      <c r="BB15" s="8">
        <v>1</v>
      </c>
      <c r="BC15" s="8">
        <v>2</v>
      </c>
      <c r="BD15" s="8">
        <v>1</v>
      </c>
      <c r="BE15" s="8">
        <v>1</v>
      </c>
      <c r="BF15" s="8">
        <v>2</v>
      </c>
      <c r="BG15" s="8">
        <v>3</v>
      </c>
      <c r="BH15" s="8">
        <v>1</v>
      </c>
      <c r="BI15" s="8">
        <v>1</v>
      </c>
      <c r="BJ15" s="8">
        <v>2</v>
      </c>
      <c r="BK15" s="8">
        <v>1</v>
      </c>
      <c r="BL15" s="8">
        <v>1</v>
      </c>
      <c r="BM15" s="8">
        <v>1</v>
      </c>
      <c r="BN15" s="8">
        <v>1</v>
      </c>
      <c r="BO15" s="8">
        <v>1</v>
      </c>
      <c r="BP15" s="8">
        <v>1</v>
      </c>
      <c r="BQ15" s="8">
        <v>1</v>
      </c>
      <c r="BR15" s="8">
        <v>2</v>
      </c>
      <c r="BS15" s="8">
        <v>1</v>
      </c>
      <c r="BT15" s="8">
        <v>1</v>
      </c>
      <c r="BU15" s="8">
        <v>1</v>
      </c>
      <c r="BV15" s="8">
        <v>2</v>
      </c>
      <c r="BW15" s="8">
        <v>1</v>
      </c>
      <c r="BX15" s="8">
        <v>2</v>
      </c>
      <c r="BY15" s="8">
        <v>2</v>
      </c>
      <c r="BZ15" s="8">
        <v>2</v>
      </c>
      <c r="CA15" s="8">
        <v>1</v>
      </c>
      <c r="CB15" s="8">
        <v>1</v>
      </c>
      <c r="CC15" s="8">
        <v>2</v>
      </c>
      <c r="CD15" s="8">
        <v>1</v>
      </c>
      <c r="CE15" s="8">
        <v>1</v>
      </c>
      <c r="CF15" s="8">
        <v>2</v>
      </c>
      <c r="CG15" s="8">
        <v>2</v>
      </c>
      <c r="CH15" s="8">
        <v>2</v>
      </c>
      <c r="CI15" s="8">
        <v>2</v>
      </c>
      <c r="CJ15" s="8">
        <v>2</v>
      </c>
      <c r="CK15" s="8">
        <v>2</v>
      </c>
      <c r="CL15" s="8">
        <v>2</v>
      </c>
      <c r="CM15" s="8">
        <v>2</v>
      </c>
      <c r="CN15" s="8">
        <v>2</v>
      </c>
      <c r="CO15" s="8">
        <v>2</v>
      </c>
      <c r="CP15" s="8">
        <v>2</v>
      </c>
      <c r="CQ15" s="8">
        <v>1</v>
      </c>
      <c r="CR15" s="8">
        <v>1</v>
      </c>
      <c r="CS15" s="8">
        <v>1</v>
      </c>
      <c r="CT15" s="8">
        <v>1</v>
      </c>
    </row>
    <row r="16" spans="1:98" ht="12.75" x14ac:dyDescent="0.2">
      <c r="A16" s="19" t="s">
        <v>180</v>
      </c>
      <c r="B16" s="20">
        <v>82</v>
      </c>
      <c r="C16" s="20">
        <v>81</v>
      </c>
      <c r="D16" s="20">
        <v>84</v>
      </c>
      <c r="E16" s="20">
        <v>82.6</v>
      </c>
      <c r="F16" s="23" t="str">
        <f t="shared" si="1"/>
        <v>PASSED</v>
      </c>
      <c r="G16" s="17">
        <v>1.7521</v>
      </c>
      <c r="H16" s="21">
        <v>45017</v>
      </c>
      <c r="I16" s="8" t="s">
        <v>103</v>
      </c>
      <c r="J16" s="8" t="s">
        <v>89</v>
      </c>
      <c r="K16" s="8" t="s">
        <v>131</v>
      </c>
      <c r="L16" s="8" t="s">
        <v>91</v>
      </c>
      <c r="M16" s="38"/>
      <c r="N16" s="8" t="s">
        <v>90</v>
      </c>
      <c r="O16" s="8" t="s">
        <v>123</v>
      </c>
      <c r="P16" s="8" t="s">
        <v>106</v>
      </c>
      <c r="Q16" s="3" t="s">
        <v>91</v>
      </c>
      <c r="R16" s="5"/>
      <c r="S16" s="8" t="s">
        <v>91</v>
      </c>
      <c r="T16" s="8" t="s">
        <v>160</v>
      </c>
      <c r="U16" s="38"/>
      <c r="V16" s="8" t="s">
        <v>91</v>
      </c>
      <c r="W16" s="38"/>
      <c r="X16" s="8" t="s">
        <v>91</v>
      </c>
      <c r="Y16" s="38"/>
      <c r="Z16" s="8">
        <v>2</v>
      </c>
      <c r="AA16" s="8">
        <v>1</v>
      </c>
      <c r="AB16" s="8">
        <v>1</v>
      </c>
      <c r="AC16" s="8">
        <v>1</v>
      </c>
      <c r="AD16" s="8">
        <v>1</v>
      </c>
      <c r="AE16" s="8">
        <v>1</v>
      </c>
      <c r="AF16" s="8">
        <v>2</v>
      </c>
      <c r="AG16" s="8">
        <v>1</v>
      </c>
      <c r="AH16" s="8">
        <v>2</v>
      </c>
      <c r="AI16" s="8">
        <v>1</v>
      </c>
      <c r="AJ16" s="8">
        <v>1</v>
      </c>
      <c r="AK16" s="8">
        <v>1</v>
      </c>
      <c r="AL16" s="8">
        <v>2</v>
      </c>
      <c r="AM16" s="8">
        <v>2</v>
      </c>
      <c r="AN16" s="8">
        <v>2</v>
      </c>
      <c r="AO16" s="8">
        <v>1</v>
      </c>
      <c r="AP16" s="8">
        <v>2</v>
      </c>
      <c r="AQ16" s="8">
        <v>2</v>
      </c>
      <c r="AR16" s="8">
        <v>1</v>
      </c>
      <c r="AS16" s="8">
        <v>2</v>
      </c>
      <c r="AT16" s="8">
        <v>2</v>
      </c>
      <c r="AU16" s="8">
        <v>2</v>
      </c>
      <c r="AV16" s="8">
        <v>2</v>
      </c>
      <c r="AW16" s="8">
        <v>1</v>
      </c>
      <c r="AX16" s="8">
        <v>1</v>
      </c>
      <c r="AY16" s="8">
        <v>1</v>
      </c>
      <c r="AZ16" s="8">
        <v>2</v>
      </c>
      <c r="BA16" s="8">
        <v>2</v>
      </c>
      <c r="BB16" s="8">
        <v>2</v>
      </c>
      <c r="BC16" s="8">
        <v>2</v>
      </c>
      <c r="BD16" s="8">
        <v>2</v>
      </c>
      <c r="BE16" s="8">
        <v>1</v>
      </c>
      <c r="BF16" s="8">
        <v>2</v>
      </c>
      <c r="BG16" s="8">
        <v>3</v>
      </c>
      <c r="BH16" s="8">
        <v>2</v>
      </c>
      <c r="BI16" s="8">
        <v>3</v>
      </c>
      <c r="BJ16" s="8">
        <v>3</v>
      </c>
      <c r="BK16" s="8">
        <v>3</v>
      </c>
      <c r="BL16" s="8">
        <v>2</v>
      </c>
      <c r="BM16" s="8">
        <v>3</v>
      </c>
      <c r="BN16" s="8">
        <v>2</v>
      </c>
      <c r="BO16" s="8">
        <v>2</v>
      </c>
      <c r="BP16" s="8">
        <v>2</v>
      </c>
      <c r="BQ16" s="8">
        <v>2</v>
      </c>
      <c r="BR16" s="8">
        <v>3</v>
      </c>
      <c r="BS16" s="8">
        <v>2</v>
      </c>
      <c r="BT16" s="8">
        <v>2</v>
      </c>
      <c r="BU16" s="8">
        <v>2</v>
      </c>
      <c r="BV16" s="8">
        <v>2</v>
      </c>
      <c r="BW16" s="8">
        <v>2</v>
      </c>
      <c r="BX16" s="8">
        <v>2</v>
      </c>
      <c r="BY16" s="8">
        <v>1</v>
      </c>
      <c r="BZ16" s="8">
        <v>2</v>
      </c>
      <c r="CA16" s="8">
        <v>2</v>
      </c>
      <c r="CB16" s="8">
        <v>1</v>
      </c>
      <c r="CC16" s="8">
        <v>2</v>
      </c>
      <c r="CD16" s="8">
        <v>1</v>
      </c>
      <c r="CE16" s="8">
        <v>2</v>
      </c>
      <c r="CF16" s="8">
        <v>2</v>
      </c>
      <c r="CG16" s="8">
        <v>3</v>
      </c>
      <c r="CH16" s="8">
        <v>3</v>
      </c>
      <c r="CI16" s="8">
        <v>2</v>
      </c>
      <c r="CJ16" s="8">
        <v>3</v>
      </c>
      <c r="CK16" s="8">
        <v>2</v>
      </c>
      <c r="CL16" s="8">
        <v>2</v>
      </c>
      <c r="CM16" s="8">
        <v>2</v>
      </c>
      <c r="CN16" s="8">
        <v>2</v>
      </c>
      <c r="CO16" s="8">
        <v>2</v>
      </c>
      <c r="CP16" s="8">
        <v>2</v>
      </c>
      <c r="CQ16" s="8">
        <v>2</v>
      </c>
      <c r="CR16" s="8">
        <v>1</v>
      </c>
      <c r="CS16" s="8">
        <v>2</v>
      </c>
      <c r="CT16" s="8">
        <v>2</v>
      </c>
    </row>
    <row r="17" spans="1:98" ht="14.25" x14ac:dyDescent="0.2">
      <c r="A17" s="32" t="s">
        <v>135</v>
      </c>
      <c r="B17" s="20">
        <v>75</v>
      </c>
      <c r="C17" s="20">
        <v>71</v>
      </c>
      <c r="D17" s="20">
        <v>62</v>
      </c>
      <c r="E17" s="20">
        <v>67.95</v>
      </c>
      <c r="F17" s="17" t="s">
        <v>166</v>
      </c>
      <c r="G17" s="33">
        <v>2.2151999999999998</v>
      </c>
      <c r="H17" s="21">
        <v>45017</v>
      </c>
      <c r="I17" s="3" t="s">
        <v>136</v>
      </c>
      <c r="J17" s="3" t="s">
        <v>89</v>
      </c>
      <c r="K17" s="3" t="s">
        <v>137</v>
      </c>
      <c r="L17" s="3" t="s">
        <v>91</v>
      </c>
      <c r="M17" s="3" t="s">
        <v>138</v>
      </c>
      <c r="N17" s="3" t="s">
        <v>91</v>
      </c>
      <c r="O17" s="5"/>
      <c r="P17" s="3" t="s">
        <v>99</v>
      </c>
      <c r="Q17" s="8" t="s">
        <v>91</v>
      </c>
      <c r="R17" s="38"/>
      <c r="S17" s="3" t="s">
        <v>91</v>
      </c>
      <c r="T17" s="3" t="s">
        <v>101</v>
      </c>
      <c r="U17" s="5"/>
      <c r="V17" s="3" t="s">
        <v>91</v>
      </c>
      <c r="W17" s="5"/>
      <c r="X17" s="3" t="s">
        <v>91</v>
      </c>
      <c r="Y17" s="5"/>
      <c r="Z17" s="3">
        <v>3</v>
      </c>
      <c r="AA17" s="3">
        <v>2</v>
      </c>
      <c r="AB17" s="3">
        <v>2</v>
      </c>
      <c r="AC17" s="3">
        <v>3</v>
      </c>
      <c r="AD17" s="3">
        <v>3</v>
      </c>
      <c r="AE17" s="3">
        <v>1</v>
      </c>
      <c r="AF17" s="3">
        <v>2</v>
      </c>
      <c r="AG17" s="3">
        <v>1</v>
      </c>
      <c r="AH17" s="3">
        <v>1</v>
      </c>
      <c r="AI17" s="3">
        <v>1</v>
      </c>
      <c r="AJ17" s="3">
        <v>2</v>
      </c>
      <c r="AK17" s="3">
        <v>1</v>
      </c>
      <c r="AL17" s="3">
        <v>2</v>
      </c>
      <c r="AM17" s="3">
        <v>2</v>
      </c>
      <c r="AN17" s="3">
        <v>2</v>
      </c>
      <c r="AO17" s="3">
        <v>3</v>
      </c>
      <c r="AP17" s="3">
        <v>2</v>
      </c>
      <c r="AQ17" s="3">
        <v>2</v>
      </c>
      <c r="AR17" s="3">
        <v>2</v>
      </c>
      <c r="AS17" s="3">
        <v>3</v>
      </c>
      <c r="AT17" s="3">
        <v>1</v>
      </c>
      <c r="AU17" s="3">
        <v>2</v>
      </c>
      <c r="AV17" s="3">
        <v>2</v>
      </c>
      <c r="AW17" s="3">
        <v>2</v>
      </c>
      <c r="AX17" s="3">
        <v>1</v>
      </c>
      <c r="AY17" s="3">
        <v>1</v>
      </c>
      <c r="AZ17" s="3">
        <v>1</v>
      </c>
      <c r="BA17" s="3">
        <v>3</v>
      </c>
      <c r="BB17" s="3">
        <v>2</v>
      </c>
      <c r="BC17" s="3">
        <v>3</v>
      </c>
      <c r="BD17" s="3">
        <v>2</v>
      </c>
      <c r="BE17" s="3">
        <v>1</v>
      </c>
      <c r="BF17" s="3">
        <v>1</v>
      </c>
      <c r="BG17" s="3">
        <v>1</v>
      </c>
      <c r="BH17" s="3">
        <v>1</v>
      </c>
      <c r="BI17" s="3">
        <v>2</v>
      </c>
      <c r="BJ17" s="3">
        <v>2</v>
      </c>
      <c r="BK17" s="3">
        <v>1</v>
      </c>
      <c r="BL17" s="3">
        <v>2</v>
      </c>
      <c r="BM17" s="3">
        <v>2</v>
      </c>
      <c r="BN17" s="3">
        <v>2</v>
      </c>
      <c r="BO17" s="3">
        <v>3</v>
      </c>
      <c r="BP17" s="3">
        <v>1</v>
      </c>
      <c r="BQ17" s="3">
        <v>2</v>
      </c>
      <c r="BR17" s="3">
        <v>3</v>
      </c>
      <c r="BS17" s="3">
        <v>1</v>
      </c>
      <c r="BT17" s="3">
        <v>2</v>
      </c>
      <c r="BU17" s="3">
        <v>1</v>
      </c>
      <c r="BV17" s="3">
        <v>1</v>
      </c>
      <c r="BW17" s="3">
        <v>1</v>
      </c>
      <c r="BX17" s="3">
        <v>1</v>
      </c>
      <c r="BY17" s="3">
        <v>1</v>
      </c>
      <c r="BZ17" s="3">
        <v>1</v>
      </c>
      <c r="CA17" s="3">
        <v>2</v>
      </c>
      <c r="CB17" s="3">
        <v>2</v>
      </c>
      <c r="CC17" s="3">
        <v>1</v>
      </c>
      <c r="CD17" s="3">
        <v>1</v>
      </c>
      <c r="CE17" s="3">
        <v>1</v>
      </c>
      <c r="CF17" s="3">
        <v>1</v>
      </c>
      <c r="CG17" s="3">
        <v>1</v>
      </c>
      <c r="CH17" s="3">
        <v>1</v>
      </c>
      <c r="CI17" s="3">
        <v>1</v>
      </c>
      <c r="CJ17" s="3">
        <v>1</v>
      </c>
      <c r="CK17" s="3">
        <v>3</v>
      </c>
      <c r="CL17" s="3">
        <v>2</v>
      </c>
      <c r="CM17" s="3">
        <v>2</v>
      </c>
      <c r="CN17" s="3">
        <v>2</v>
      </c>
      <c r="CO17" s="3">
        <v>2</v>
      </c>
      <c r="CP17" s="3">
        <v>2</v>
      </c>
      <c r="CQ17" s="3">
        <v>1</v>
      </c>
      <c r="CR17" s="3">
        <v>1</v>
      </c>
      <c r="CS17" s="3">
        <v>1</v>
      </c>
      <c r="CT17" s="3">
        <v>1</v>
      </c>
    </row>
    <row r="18" spans="1:98" ht="14.25" x14ac:dyDescent="0.2">
      <c r="A18" s="32" t="s">
        <v>141</v>
      </c>
      <c r="B18" s="20">
        <v>64</v>
      </c>
      <c r="C18" s="20">
        <v>55</v>
      </c>
      <c r="D18" s="20">
        <v>55</v>
      </c>
      <c r="E18" s="20">
        <v>57.25</v>
      </c>
      <c r="F18" s="17" t="s">
        <v>166</v>
      </c>
      <c r="G18" s="33">
        <v>2.6511</v>
      </c>
      <c r="H18" s="21">
        <v>45017</v>
      </c>
      <c r="I18" s="8" t="s">
        <v>103</v>
      </c>
      <c r="J18" s="8" t="s">
        <v>102</v>
      </c>
      <c r="K18" s="38"/>
      <c r="L18" s="8" t="s">
        <v>90</v>
      </c>
      <c r="M18" s="8" t="s">
        <v>142</v>
      </c>
      <c r="N18" s="8" t="s">
        <v>91</v>
      </c>
      <c r="O18" s="38"/>
      <c r="P18" s="8" t="s">
        <v>99</v>
      </c>
      <c r="Q18" s="3" t="s">
        <v>91</v>
      </c>
      <c r="R18" s="5"/>
      <c r="S18" s="8" t="s">
        <v>90</v>
      </c>
      <c r="T18" s="8" t="s">
        <v>101</v>
      </c>
      <c r="U18" s="38"/>
      <c r="V18" s="8" t="s">
        <v>91</v>
      </c>
      <c r="W18" s="38"/>
      <c r="X18" s="8" t="s">
        <v>91</v>
      </c>
      <c r="Y18" s="38"/>
      <c r="Z18" s="8">
        <v>2</v>
      </c>
      <c r="AA18" s="8">
        <v>2</v>
      </c>
      <c r="AB18" s="8">
        <v>2</v>
      </c>
      <c r="AC18" s="8">
        <v>2</v>
      </c>
      <c r="AD18" s="8">
        <v>2</v>
      </c>
      <c r="AE18" s="8">
        <v>2</v>
      </c>
      <c r="AF18" s="8">
        <v>3</v>
      </c>
      <c r="AG18" s="8">
        <v>2</v>
      </c>
      <c r="AH18" s="8">
        <v>2</v>
      </c>
      <c r="AI18" s="8">
        <v>2</v>
      </c>
      <c r="AJ18" s="8">
        <v>2</v>
      </c>
      <c r="AK18" s="8">
        <v>2</v>
      </c>
      <c r="AL18" s="8">
        <v>3</v>
      </c>
      <c r="AM18" s="8">
        <v>2</v>
      </c>
      <c r="AN18" s="8">
        <v>3</v>
      </c>
      <c r="AO18" s="8">
        <v>2</v>
      </c>
      <c r="AP18" s="8">
        <v>3</v>
      </c>
      <c r="AQ18" s="8">
        <v>3</v>
      </c>
      <c r="AR18" s="8">
        <v>3</v>
      </c>
      <c r="AS18" s="8">
        <v>3</v>
      </c>
      <c r="AT18" s="8">
        <v>3</v>
      </c>
      <c r="AU18" s="8">
        <v>2</v>
      </c>
      <c r="AV18" s="8">
        <v>3</v>
      </c>
      <c r="AW18" s="8">
        <v>2</v>
      </c>
      <c r="AX18" s="8">
        <v>2</v>
      </c>
      <c r="AY18" s="8">
        <v>2</v>
      </c>
      <c r="AZ18" s="8">
        <v>2</v>
      </c>
      <c r="BA18" s="8">
        <v>2</v>
      </c>
      <c r="BB18" s="8">
        <v>2</v>
      </c>
      <c r="BC18" s="8">
        <v>2</v>
      </c>
      <c r="BD18" s="8">
        <v>3</v>
      </c>
      <c r="BE18" s="8">
        <v>2</v>
      </c>
      <c r="BF18" s="8">
        <v>2</v>
      </c>
      <c r="BG18" s="8">
        <v>2</v>
      </c>
      <c r="BH18" s="8">
        <v>2</v>
      </c>
      <c r="BI18" s="8">
        <v>1</v>
      </c>
      <c r="BJ18" s="8">
        <v>2</v>
      </c>
      <c r="BK18" s="8">
        <v>2</v>
      </c>
      <c r="BL18" s="8">
        <v>2</v>
      </c>
      <c r="BM18" s="8">
        <v>2</v>
      </c>
      <c r="BN18" s="8">
        <v>2</v>
      </c>
      <c r="BO18" s="8">
        <v>2</v>
      </c>
      <c r="BP18" s="8">
        <v>2</v>
      </c>
      <c r="BQ18" s="8">
        <v>2</v>
      </c>
      <c r="BR18" s="8">
        <v>2</v>
      </c>
      <c r="BS18" s="8">
        <v>2</v>
      </c>
      <c r="BT18" s="8">
        <v>2</v>
      </c>
      <c r="BU18" s="8">
        <v>2</v>
      </c>
      <c r="BV18" s="8">
        <v>2</v>
      </c>
      <c r="BW18" s="8">
        <v>2</v>
      </c>
      <c r="BX18" s="8">
        <v>2</v>
      </c>
      <c r="BY18" s="8">
        <v>2</v>
      </c>
      <c r="BZ18" s="8">
        <v>2</v>
      </c>
      <c r="CA18" s="8">
        <v>2</v>
      </c>
      <c r="CB18" s="8">
        <v>2</v>
      </c>
      <c r="CC18" s="8">
        <v>2</v>
      </c>
      <c r="CD18" s="8">
        <v>2</v>
      </c>
      <c r="CE18" s="8">
        <v>2</v>
      </c>
      <c r="CF18" s="8">
        <v>2</v>
      </c>
      <c r="CG18" s="8">
        <v>2</v>
      </c>
      <c r="CH18" s="8">
        <v>2</v>
      </c>
      <c r="CI18" s="8">
        <v>2</v>
      </c>
      <c r="CJ18" s="8">
        <v>2</v>
      </c>
      <c r="CK18" s="8">
        <v>2</v>
      </c>
      <c r="CL18" s="8">
        <v>2</v>
      </c>
      <c r="CM18" s="8">
        <v>2</v>
      </c>
      <c r="CN18" s="8">
        <v>2</v>
      </c>
      <c r="CO18" s="8">
        <v>2</v>
      </c>
      <c r="CP18" s="8">
        <v>2</v>
      </c>
      <c r="CQ18" s="8">
        <v>2</v>
      </c>
      <c r="CR18" s="8">
        <v>2</v>
      </c>
      <c r="CS18" s="8">
        <v>2</v>
      </c>
      <c r="CT18" s="8">
        <v>2</v>
      </c>
    </row>
    <row r="19" spans="1:98" ht="14.25" x14ac:dyDescent="0.2">
      <c r="A19" s="32" t="s">
        <v>145</v>
      </c>
      <c r="B19" s="20">
        <v>66</v>
      </c>
      <c r="C19" s="20">
        <v>49</v>
      </c>
      <c r="D19" s="20">
        <v>63</v>
      </c>
      <c r="E19" s="20">
        <v>59.55</v>
      </c>
      <c r="F19" s="17" t="s">
        <v>166</v>
      </c>
      <c r="G19" s="33">
        <v>2.7210999999999999</v>
      </c>
      <c r="H19" s="21">
        <v>45017</v>
      </c>
      <c r="I19" s="3" t="s">
        <v>115</v>
      </c>
      <c r="J19" s="3" t="s">
        <v>102</v>
      </c>
      <c r="K19" s="5"/>
      <c r="L19" s="3" t="s">
        <v>91</v>
      </c>
      <c r="M19" s="5"/>
      <c r="N19" s="3" t="s">
        <v>90</v>
      </c>
      <c r="O19" s="5"/>
      <c r="P19" s="3" t="s">
        <v>106</v>
      </c>
      <c r="Q19" s="8" t="s">
        <v>91</v>
      </c>
      <c r="R19" s="38"/>
      <c r="S19" s="3" t="s">
        <v>90</v>
      </c>
      <c r="T19" s="4" t="s">
        <v>160</v>
      </c>
      <c r="U19" s="3" t="s">
        <v>132</v>
      </c>
      <c r="V19" s="3" t="s">
        <v>91</v>
      </c>
      <c r="W19" s="5"/>
      <c r="X19" s="3" t="s">
        <v>91</v>
      </c>
      <c r="Y19" s="5"/>
      <c r="Z19" s="3">
        <v>3</v>
      </c>
      <c r="AA19" s="3">
        <v>1</v>
      </c>
      <c r="AB19" s="3">
        <v>1</v>
      </c>
      <c r="AC19" s="3">
        <v>1</v>
      </c>
      <c r="AD19" s="3">
        <v>1</v>
      </c>
      <c r="AE19" s="3">
        <v>1</v>
      </c>
      <c r="AF19" s="3">
        <v>1</v>
      </c>
      <c r="AG19" s="3">
        <v>3</v>
      </c>
      <c r="AH19" s="3">
        <v>1</v>
      </c>
      <c r="AI19" s="3">
        <v>1</v>
      </c>
      <c r="AJ19" s="3">
        <v>1</v>
      </c>
      <c r="AK19" s="3">
        <v>1</v>
      </c>
      <c r="AL19" s="3">
        <v>1</v>
      </c>
      <c r="AM19" s="3">
        <v>1</v>
      </c>
      <c r="AN19" s="3">
        <v>1</v>
      </c>
      <c r="AO19" s="3">
        <v>1</v>
      </c>
      <c r="AP19" s="3">
        <v>1</v>
      </c>
      <c r="AQ19" s="3">
        <v>1</v>
      </c>
      <c r="AR19" s="3">
        <v>2</v>
      </c>
      <c r="AS19" s="3">
        <v>2</v>
      </c>
      <c r="AT19" s="3">
        <v>2</v>
      </c>
      <c r="AU19" s="3">
        <v>2</v>
      </c>
      <c r="AV19" s="3">
        <v>2</v>
      </c>
      <c r="AW19" s="3">
        <v>1</v>
      </c>
      <c r="AX19" s="3">
        <v>2</v>
      </c>
      <c r="AY19" s="3">
        <v>2</v>
      </c>
      <c r="AZ19" s="3">
        <v>2</v>
      </c>
      <c r="BA19" s="3">
        <v>2</v>
      </c>
      <c r="BB19" s="3">
        <v>3</v>
      </c>
      <c r="BC19" s="3">
        <v>3</v>
      </c>
      <c r="BD19" s="3">
        <v>3</v>
      </c>
      <c r="BE19" s="3">
        <v>3</v>
      </c>
      <c r="BF19" s="3">
        <v>2</v>
      </c>
      <c r="BG19" s="3">
        <v>2</v>
      </c>
      <c r="BH19" s="3">
        <v>2</v>
      </c>
      <c r="BI19" s="3">
        <v>2</v>
      </c>
      <c r="BJ19" s="3">
        <v>2</v>
      </c>
      <c r="BK19" s="3">
        <v>2</v>
      </c>
      <c r="BL19" s="3">
        <v>2</v>
      </c>
      <c r="BM19" s="3">
        <v>2</v>
      </c>
      <c r="BN19" s="3">
        <v>3</v>
      </c>
      <c r="BO19" s="3">
        <v>3</v>
      </c>
      <c r="BP19" s="3">
        <v>2</v>
      </c>
      <c r="BQ19" s="3">
        <v>2</v>
      </c>
      <c r="BR19" s="3">
        <v>2</v>
      </c>
      <c r="BS19" s="3">
        <v>3</v>
      </c>
      <c r="BT19" s="3">
        <v>3</v>
      </c>
      <c r="BU19" s="3">
        <v>2</v>
      </c>
      <c r="BV19" s="3">
        <v>2</v>
      </c>
      <c r="BW19" s="3">
        <v>2</v>
      </c>
      <c r="BX19" s="3">
        <v>2</v>
      </c>
      <c r="BY19" s="3">
        <v>2</v>
      </c>
      <c r="BZ19" s="3">
        <v>2</v>
      </c>
      <c r="CA19" s="3">
        <v>1</v>
      </c>
      <c r="CB19" s="3">
        <v>2</v>
      </c>
      <c r="CC19" s="3">
        <v>2</v>
      </c>
      <c r="CD19" s="3">
        <v>2</v>
      </c>
      <c r="CE19" s="3">
        <v>2</v>
      </c>
      <c r="CF19" s="3">
        <v>2</v>
      </c>
      <c r="CG19" s="3">
        <v>2</v>
      </c>
      <c r="CH19" s="3">
        <v>2</v>
      </c>
      <c r="CI19" s="3">
        <v>2</v>
      </c>
      <c r="CJ19" s="3">
        <v>2</v>
      </c>
      <c r="CK19" s="3">
        <v>2</v>
      </c>
      <c r="CL19" s="3">
        <v>2</v>
      </c>
      <c r="CM19" s="3">
        <v>2</v>
      </c>
      <c r="CN19" s="3">
        <v>2</v>
      </c>
      <c r="CO19" s="3">
        <v>3</v>
      </c>
      <c r="CP19" s="3">
        <v>1</v>
      </c>
      <c r="CQ19" s="3">
        <v>2</v>
      </c>
      <c r="CR19" s="3">
        <v>2</v>
      </c>
      <c r="CS19" s="3">
        <v>2</v>
      </c>
      <c r="CT19" s="3">
        <v>2</v>
      </c>
    </row>
    <row r="20" spans="1:98" ht="14.25" x14ac:dyDescent="0.2">
      <c r="A20" s="36" t="s">
        <v>147</v>
      </c>
      <c r="B20" s="27">
        <v>70</v>
      </c>
      <c r="C20" s="27">
        <v>70</v>
      </c>
      <c r="D20" s="27">
        <v>70</v>
      </c>
      <c r="E20" s="20">
        <v>70</v>
      </c>
      <c r="F20" s="17" t="str">
        <f>IF(E20&gt;=70,"PASSED", "---")</f>
        <v>PASSED</v>
      </c>
      <c r="G20" s="37">
        <v>1.8211999999999999</v>
      </c>
      <c r="H20" s="21">
        <v>45170</v>
      </c>
      <c r="I20" s="3" t="s">
        <v>115</v>
      </c>
      <c r="J20" s="3" t="s">
        <v>102</v>
      </c>
      <c r="K20" s="5"/>
      <c r="L20" s="3" t="s">
        <v>91</v>
      </c>
      <c r="M20" s="5"/>
      <c r="N20" s="3" t="s">
        <v>91</v>
      </c>
      <c r="O20" s="5"/>
      <c r="P20" s="3" t="s">
        <v>99</v>
      </c>
      <c r="Q20" s="3" t="s">
        <v>91</v>
      </c>
      <c r="R20" s="5"/>
      <c r="S20" s="3" t="s">
        <v>90</v>
      </c>
      <c r="T20" s="22" t="s">
        <v>160</v>
      </c>
      <c r="U20" s="3" t="s">
        <v>127</v>
      </c>
      <c r="V20" s="3" t="s">
        <v>90</v>
      </c>
      <c r="W20" s="3" t="s">
        <v>148</v>
      </c>
      <c r="X20" s="3" t="s">
        <v>91</v>
      </c>
      <c r="Y20" s="5"/>
      <c r="Z20" s="3">
        <v>1</v>
      </c>
      <c r="AA20" s="3">
        <v>2</v>
      </c>
      <c r="AB20" s="3">
        <v>2</v>
      </c>
      <c r="AC20" s="3">
        <v>2</v>
      </c>
      <c r="AD20" s="3">
        <v>2</v>
      </c>
      <c r="AE20" s="3">
        <v>2</v>
      </c>
      <c r="AF20" s="3">
        <v>2</v>
      </c>
      <c r="AG20" s="3">
        <v>2</v>
      </c>
      <c r="AH20" s="3">
        <v>2</v>
      </c>
      <c r="AI20" s="3">
        <v>2</v>
      </c>
      <c r="AJ20" s="3">
        <v>2</v>
      </c>
      <c r="AK20" s="3">
        <v>2</v>
      </c>
      <c r="AL20" s="3">
        <v>2</v>
      </c>
      <c r="AM20" s="3">
        <v>2</v>
      </c>
      <c r="AN20" s="3">
        <v>2</v>
      </c>
      <c r="AO20" s="3">
        <v>2</v>
      </c>
      <c r="AP20" s="3">
        <v>3</v>
      </c>
      <c r="AQ20" s="3">
        <v>3</v>
      </c>
      <c r="AR20" s="3">
        <v>2</v>
      </c>
      <c r="AS20" s="3">
        <v>3</v>
      </c>
      <c r="AT20" s="3">
        <v>3</v>
      </c>
      <c r="AU20" s="3">
        <v>2</v>
      </c>
      <c r="AV20" s="3">
        <v>3</v>
      </c>
      <c r="AW20" s="3">
        <v>3</v>
      </c>
      <c r="AX20" s="3">
        <v>1</v>
      </c>
      <c r="AY20" s="3">
        <v>1</v>
      </c>
      <c r="AZ20" s="3">
        <v>1</v>
      </c>
      <c r="BA20" s="3">
        <v>2</v>
      </c>
      <c r="BB20" s="3">
        <v>1</v>
      </c>
      <c r="BC20" s="3">
        <v>2</v>
      </c>
      <c r="BD20" s="3">
        <v>2</v>
      </c>
      <c r="BE20" s="3">
        <v>1</v>
      </c>
      <c r="BF20" s="3">
        <v>2</v>
      </c>
      <c r="BG20" s="3">
        <v>3</v>
      </c>
      <c r="BH20" s="3">
        <v>2</v>
      </c>
      <c r="BI20" s="3">
        <v>2</v>
      </c>
      <c r="BJ20" s="3">
        <v>2</v>
      </c>
      <c r="BK20" s="3">
        <v>2</v>
      </c>
      <c r="BL20" s="3">
        <v>2</v>
      </c>
      <c r="BM20" s="3">
        <v>1</v>
      </c>
      <c r="BN20" s="3">
        <v>2</v>
      </c>
      <c r="BO20" s="3">
        <v>2</v>
      </c>
      <c r="BP20" s="3">
        <v>2</v>
      </c>
      <c r="BQ20" s="3">
        <v>2</v>
      </c>
      <c r="BR20" s="3">
        <v>2</v>
      </c>
      <c r="BS20" s="3">
        <v>3</v>
      </c>
      <c r="BT20" s="3">
        <v>2</v>
      </c>
      <c r="BU20" s="3">
        <v>2</v>
      </c>
      <c r="BV20" s="3">
        <v>2</v>
      </c>
      <c r="BW20" s="3">
        <v>2</v>
      </c>
      <c r="BX20" s="3">
        <v>2</v>
      </c>
      <c r="BY20" s="3">
        <v>2</v>
      </c>
      <c r="BZ20" s="3">
        <v>2</v>
      </c>
      <c r="CA20" s="3">
        <v>2</v>
      </c>
      <c r="CB20" s="3">
        <v>2</v>
      </c>
      <c r="CC20" s="3">
        <v>2</v>
      </c>
      <c r="CD20" s="3">
        <v>2</v>
      </c>
      <c r="CE20" s="3">
        <v>2</v>
      </c>
      <c r="CF20" s="3">
        <v>2</v>
      </c>
      <c r="CG20" s="3">
        <v>2</v>
      </c>
      <c r="CH20" s="3">
        <v>2</v>
      </c>
      <c r="CI20" s="3">
        <v>2</v>
      </c>
      <c r="CJ20" s="3">
        <v>2</v>
      </c>
      <c r="CK20" s="3">
        <v>2</v>
      </c>
      <c r="CL20" s="3">
        <v>2</v>
      </c>
      <c r="CM20" s="3">
        <v>2</v>
      </c>
      <c r="CN20" s="3">
        <v>2</v>
      </c>
      <c r="CO20" s="3">
        <v>2</v>
      </c>
      <c r="CP20" s="3">
        <v>2</v>
      </c>
      <c r="CQ20" s="3">
        <v>2</v>
      </c>
      <c r="CR20" s="3">
        <v>2</v>
      </c>
      <c r="CS20" s="3">
        <v>2</v>
      </c>
      <c r="CT20" s="3">
        <v>2</v>
      </c>
    </row>
    <row r="21" spans="1:98" ht="14.25" x14ac:dyDescent="0.2">
      <c r="A21" s="32" t="s">
        <v>152</v>
      </c>
      <c r="B21" s="27">
        <v>48</v>
      </c>
      <c r="C21" s="27">
        <v>57</v>
      </c>
      <c r="D21" s="27">
        <v>43</v>
      </c>
      <c r="E21" s="20">
        <v>48.45</v>
      </c>
      <c r="F21" s="17" t="s">
        <v>166</v>
      </c>
      <c r="G21" s="33">
        <v>2.9851000000000001</v>
      </c>
      <c r="H21" s="21">
        <v>45170</v>
      </c>
      <c r="I21" s="8" t="s">
        <v>103</v>
      </c>
      <c r="J21" s="8" t="s">
        <v>102</v>
      </c>
      <c r="K21" s="38"/>
      <c r="L21" s="8" t="s">
        <v>91</v>
      </c>
      <c r="M21" s="38"/>
      <c r="N21" s="8" t="s">
        <v>91</v>
      </c>
      <c r="O21" s="38"/>
      <c r="P21" s="8" t="s">
        <v>112</v>
      </c>
      <c r="Q21" s="8" t="s">
        <v>91</v>
      </c>
      <c r="R21" s="38"/>
      <c r="S21" s="8" t="s">
        <v>90</v>
      </c>
      <c r="T21" s="9" t="s">
        <v>160</v>
      </c>
      <c r="U21" s="8" t="s">
        <v>121</v>
      </c>
      <c r="V21" s="8" t="s">
        <v>90</v>
      </c>
      <c r="W21" s="8" t="s">
        <v>122</v>
      </c>
      <c r="X21" s="8" t="s">
        <v>91</v>
      </c>
      <c r="Y21" s="38"/>
      <c r="Z21" s="8">
        <v>1</v>
      </c>
      <c r="AA21" s="8">
        <v>1</v>
      </c>
      <c r="AB21" s="8">
        <v>1</v>
      </c>
      <c r="AC21" s="8">
        <v>1</v>
      </c>
      <c r="AD21" s="8">
        <v>1</v>
      </c>
      <c r="AE21" s="8">
        <v>1</v>
      </c>
      <c r="AF21" s="8">
        <v>1</v>
      </c>
      <c r="AG21" s="8">
        <v>1</v>
      </c>
      <c r="AH21" s="8">
        <v>1</v>
      </c>
      <c r="AI21" s="8">
        <v>1</v>
      </c>
      <c r="AJ21" s="8">
        <v>1</v>
      </c>
      <c r="AK21" s="8">
        <v>1</v>
      </c>
      <c r="AL21" s="8">
        <v>1</v>
      </c>
      <c r="AM21" s="8">
        <v>1</v>
      </c>
      <c r="AN21" s="8">
        <v>1</v>
      </c>
      <c r="AO21" s="8">
        <v>1</v>
      </c>
      <c r="AP21" s="8">
        <v>1</v>
      </c>
      <c r="AQ21" s="8">
        <v>1</v>
      </c>
      <c r="AR21" s="8">
        <v>1</v>
      </c>
      <c r="AS21" s="8">
        <v>1</v>
      </c>
      <c r="AT21" s="8">
        <v>1</v>
      </c>
      <c r="AU21" s="8">
        <v>1</v>
      </c>
      <c r="AV21" s="8">
        <v>1</v>
      </c>
      <c r="AW21" s="8">
        <v>1</v>
      </c>
      <c r="AX21" s="8">
        <v>2</v>
      </c>
      <c r="AY21" s="8">
        <v>3</v>
      </c>
      <c r="AZ21" s="8">
        <v>2</v>
      </c>
      <c r="BA21" s="8">
        <v>2</v>
      </c>
      <c r="BB21" s="8">
        <v>2</v>
      </c>
      <c r="BC21" s="8">
        <v>2</v>
      </c>
      <c r="BD21" s="8">
        <v>2</v>
      </c>
      <c r="BE21" s="8">
        <v>2</v>
      </c>
      <c r="BF21" s="8">
        <v>2</v>
      </c>
      <c r="BG21" s="8">
        <v>2</v>
      </c>
      <c r="BH21" s="8">
        <v>2</v>
      </c>
      <c r="BI21" s="8">
        <v>2</v>
      </c>
      <c r="BJ21" s="8">
        <v>2</v>
      </c>
      <c r="BK21" s="8">
        <v>2</v>
      </c>
      <c r="BL21" s="8">
        <v>2</v>
      </c>
      <c r="BM21" s="8">
        <v>2</v>
      </c>
      <c r="BN21" s="8">
        <v>2</v>
      </c>
      <c r="BO21" s="8">
        <v>2</v>
      </c>
      <c r="BP21" s="8">
        <v>2</v>
      </c>
      <c r="BQ21" s="8">
        <v>2</v>
      </c>
      <c r="BR21" s="8">
        <v>2</v>
      </c>
      <c r="BS21" s="8">
        <v>2</v>
      </c>
      <c r="BT21" s="8">
        <v>2</v>
      </c>
      <c r="BU21" s="8">
        <v>2</v>
      </c>
      <c r="BV21" s="8">
        <v>1</v>
      </c>
      <c r="BW21" s="8">
        <v>1</v>
      </c>
      <c r="BX21" s="8">
        <v>1</v>
      </c>
      <c r="BY21" s="8">
        <v>1</v>
      </c>
      <c r="BZ21" s="8">
        <v>1</v>
      </c>
      <c r="CA21" s="8">
        <v>1</v>
      </c>
      <c r="CB21" s="8">
        <v>1</v>
      </c>
      <c r="CC21" s="8">
        <v>1</v>
      </c>
      <c r="CD21" s="8">
        <v>1</v>
      </c>
      <c r="CE21" s="8">
        <v>1</v>
      </c>
      <c r="CF21" s="8">
        <v>1</v>
      </c>
      <c r="CG21" s="8">
        <v>1</v>
      </c>
      <c r="CH21" s="8">
        <v>1</v>
      </c>
      <c r="CI21" s="8">
        <v>1</v>
      </c>
      <c r="CJ21" s="8">
        <v>1</v>
      </c>
      <c r="CK21" s="8">
        <v>1</v>
      </c>
      <c r="CL21" s="8">
        <v>1</v>
      </c>
      <c r="CM21" s="8">
        <v>1</v>
      </c>
      <c r="CN21" s="8">
        <v>1</v>
      </c>
      <c r="CO21" s="8">
        <v>1</v>
      </c>
      <c r="CP21" s="8">
        <v>2</v>
      </c>
      <c r="CQ21" s="8">
        <v>2</v>
      </c>
      <c r="CR21" s="8">
        <v>2</v>
      </c>
      <c r="CS21" s="8">
        <v>2</v>
      </c>
      <c r="CT21" s="8">
        <v>2</v>
      </c>
    </row>
    <row r="22" spans="1:98" ht="15" x14ac:dyDescent="0.25">
      <c r="A22" s="40" t="s">
        <v>181</v>
      </c>
      <c r="B22" s="27">
        <v>70</v>
      </c>
      <c r="C22" s="27">
        <v>45</v>
      </c>
      <c r="D22" s="27">
        <v>59</v>
      </c>
      <c r="E22" s="20">
        <v>57.55</v>
      </c>
      <c r="F22" s="17" t="s">
        <v>166</v>
      </c>
      <c r="G22" s="25">
        <v>2.6122000000000001</v>
      </c>
      <c r="H22" s="18">
        <v>45170</v>
      </c>
      <c r="I22" s="22" t="s">
        <v>110</v>
      </c>
      <c r="J22" s="22" t="s">
        <v>89</v>
      </c>
      <c r="K22" s="3" t="s">
        <v>139</v>
      </c>
      <c r="L22" s="22" t="s">
        <v>89</v>
      </c>
      <c r="M22" s="12"/>
      <c r="N22" s="22" t="s">
        <v>90</v>
      </c>
      <c r="O22" s="22" t="s">
        <v>163</v>
      </c>
      <c r="P22" s="41" t="s">
        <v>112</v>
      </c>
      <c r="Q22" s="3" t="s">
        <v>91</v>
      </c>
      <c r="R22" s="5"/>
      <c r="S22" s="41" t="s">
        <v>209</v>
      </c>
      <c r="T22" s="41" t="s">
        <v>210</v>
      </c>
      <c r="U22" s="41" t="s">
        <v>211</v>
      </c>
      <c r="V22" s="41" t="s">
        <v>90</v>
      </c>
      <c r="W22" s="3" t="s">
        <v>114</v>
      </c>
      <c r="X22" s="31" t="s">
        <v>91</v>
      </c>
      <c r="Y22" s="12"/>
      <c r="Z22" s="42">
        <v>1</v>
      </c>
      <c r="AA22" s="7">
        <v>3</v>
      </c>
      <c r="AB22" s="7">
        <v>3</v>
      </c>
      <c r="AC22" s="7">
        <v>3</v>
      </c>
      <c r="AD22" s="7">
        <v>3</v>
      </c>
      <c r="AE22" s="7">
        <v>3</v>
      </c>
      <c r="AF22" s="7">
        <v>3</v>
      </c>
      <c r="AG22" s="7">
        <v>3</v>
      </c>
      <c r="AH22" s="7">
        <v>2</v>
      </c>
      <c r="AI22" s="7">
        <v>3</v>
      </c>
      <c r="AJ22" s="7">
        <v>3</v>
      </c>
      <c r="AK22" s="7">
        <v>3</v>
      </c>
      <c r="AL22" s="7">
        <v>2</v>
      </c>
      <c r="AM22" s="7">
        <v>2</v>
      </c>
      <c r="AN22" s="7">
        <v>3</v>
      </c>
      <c r="AO22" s="7">
        <v>3</v>
      </c>
      <c r="AP22" s="7">
        <v>2</v>
      </c>
      <c r="AQ22" s="7">
        <v>2</v>
      </c>
      <c r="AR22" s="7">
        <v>3</v>
      </c>
      <c r="AS22" s="7">
        <v>3</v>
      </c>
      <c r="AT22" s="7">
        <v>2</v>
      </c>
      <c r="AU22" s="7">
        <v>2</v>
      </c>
      <c r="AV22" s="7">
        <v>3</v>
      </c>
      <c r="AW22" s="7">
        <v>1</v>
      </c>
      <c r="AX22" s="7">
        <v>2</v>
      </c>
      <c r="AY22" s="7">
        <v>3</v>
      </c>
      <c r="AZ22" s="7">
        <v>3</v>
      </c>
      <c r="BA22" s="7">
        <v>3</v>
      </c>
      <c r="BB22" s="7">
        <v>3</v>
      </c>
      <c r="BC22" s="7">
        <v>3</v>
      </c>
      <c r="BD22" s="7">
        <v>3</v>
      </c>
      <c r="BE22" s="7">
        <v>3</v>
      </c>
      <c r="BF22" s="7">
        <v>2</v>
      </c>
      <c r="BG22" s="7">
        <v>3</v>
      </c>
      <c r="BH22" s="7">
        <v>3</v>
      </c>
      <c r="BI22" s="7">
        <v>2</v>
      </c>
      <c r="BJ22" s="7">
        <v>3</v>
      </c>
      <c r="BK22" s="7">
        <v>3</v>
      </c>
      <c r="BL22" s="7">
        <v>2</v>
      </c>
      <c r="BM22" s="7">
        <v>3</v>
      </c>
      <c r="BN22" s="7">
        <v>3</v>
      </c>
      <c r="BO22" s="7">
        <v>2</v>
      </c>
      <c r="BP22" s="7">
        <v>3</v>
      </c>
      <c r="BQ22" s="7">
        <v>3</v>
      </c>
      <c r="BR22" s="7">
        <v>2</v>
      </c>
      <c r="BS22" s="7">
        <v>3</v>
      </c>
      <c r="BT22" s="7">
        <v>3</v>
      </c>
      <c r="BU22" s="7">
        <v>3</v>
      </c>
      <c r="BV22" s="7">
        <v>3</v>
      </c>
      <c r="BW22" s="7">
        <v>2</v>
      </c>
      <c r="BX22" s="7">
        <v>2</v>
      </c>
      <c r="BY22" s="7">
        <v>2</v>
      </c>
      <c r="BZ22" s="7">
        <v>3</v>
      </c>
      <c r="CA22" s="7">
        <v>2</v>
      </c>
      <c r="CB22" s="7">
        <v>2</v>
      </c>
      <c r="CC22" s="7">
        <v>1</v>
      </c>
      <c r="CD22" s="7">
        <v>2</v>
      </c>
      <c r="CE22" s="7">
        <v>1</v>
      </c>
      <c r="CF22" s="7">
        <v>3</v>
      </c>
      <c r="CG22" s="7">
        <v>3</v>
      </c>
      <c r="CH22" s="7">
        <v>4</v>
      </c>
      <c r="CI22" s="7">
        <v>3</v>
      </c>
      <c r="CJ22" s="7">
        <v>2</v>
      </c>
      <c r="CK22" s="7">
        <v>3</v>
      </c>
      <c r="CL22" s="7">
        <v>2</v>
      </c>
      <c r="CM22" s="7">
        <v>3</v>
      </c>
      <c r="CN22" s="7">
        <v>3</v>
      </c>
      <c r="CO22" s="7">
        <v>2</v>
      </c>
      <c r="CP22" s="7">
        <v>2</v>
      </c>
      <c r="CQ22" s="7">
        <v>2</v>
      </c>
      <c r="CR22" s="7">
        <v>3</v>
      </c>
      <c r="CS22" s="7">
        <v>3</v>
      </c>
      <c r="CT22" s="7">
        <v>2</v>
      </c>
    </row>
    <row r="23" spans="1:98" ht="15" x14ac:dyDescent="0.25">
      <c r="A23" s="40" t="s">
        <v>157</v>
      </c>
      <c r="B23" s="27">
        <v>74</v>
      </c>
      <c r="C23" s="27">
        <v>56</v>
      </c>
      <c r="D23" s="27">
        <v>72</v>
      </c>
      <c r="E23" s="20">
        <v>67.7</v>
      </c>
      <c r="F23" s="17" t="s">
        <v>166</v>
      </c>
      <c r="G23" s="25">
        <v>2.2134</v>
      </c>
      <c r="H23" s="18">
        <v>45170</v>
      </c>
      <c r="I23" s="22" t="s">
        <v>103</v>
      </c>
      <c r="J23" s="22" t="s">
        <v>89</v>
      </c>
      <c r="K23" s="8" t="s">
        <v>131</v>
      </c>
      <c r="L23" s="22" t="s">
        <v>102</v>
      </c>
      <c r="M23" s="12"/>
      <c r="N23" s="22" t="s">
        <v>90</v>
      </c>
      <c r="O23" s="22" t="s">
        <v>163</v>
      </c>
      <c r="P23" s="43" t="s">
        <v>99</v>
      </c>
      <c r="Q23" s="8" t="s">
        <v>91</v>
      </c>
      <c r="R23" s="38"/>
      <c r="S23" s="43" t="s">
        <v>209</v>
      </c>
      <c r="T23" s="43" t="s">
        <v>210</v>
      </c>
      <c r="U23" s="43" t="s">
        <v>211</v>
      </c>
      <c r="V23" s="43" t="s">
        <v>91</v>
      </c>
      <c r="W23" s="44"/>
      <c r="X23" s="41" t="s">
        <v>90</v>
      </c>
      <c r="Y23" s="3" t="s">
        <v>95</v>
      </c>
      <c r="Z23" s="45">
        <v>2</v>
      </c>
      <c r="AA23" s="8">
        <v>1</v>
      </c>
      <c r="AB23" s="8">
        <v>2</v>
      </c>
      <c r="AC23" s="8">
        <v>2</v>
      </c>
      <c r="AD23" s="8">
        <v>2</v>
      </c>
      <c r="AE23" s="8">
        <v>2</v>
      </c>
      <c r="AF23" s="8">
        <v>3</v>
      </c>
      <c r="AG23" s="8">
        <v>1</v>
      </c>
      <c r="AH23" s="3">
        <v>1</v>
      </c>
      <c r="AI23" s="3">
        <v>2</v>
      </c>
      <c r="AJ23" s="3">
        <v>2</v>
      </c>
      <c r="AK23" s="3">
        <v>1</v>
      </c>
      <c r="AL23" s="8">
        <v>1</v>
      </c>
      <c r="AM23" s="8">
        <v>1</v>
      </c>
      <c r="AN23" s="8">
        <v>1</v>
      </c>
      <c r="AO23" s="8">
        <v>1</v>
      </c>
      <c r="AP23" s="8">
        <v>1</v>
      </c>
      <c r="AQ23" s="8">
        <v>1</v>
      </c>
      <c r="AR23" s="8">
        <v>1</v>
      </c>
      <c r="AS23" s="3">
        <v>1</v>
      </c>
      <c r="AT23" s="3">
        <v>1</v>
      </c>
      <c r="AU23" s="3">
        <v>1</v>
      </c>
      <c r="AV23" s="3">
        <v>1</v>
      </c>
      <c r="AW23" s="8">
        <v>1</v>
      </c>
      <c r="AX23" s="8">
        <v>1</v>
      </c>
      <c r="AY23" s="8">
        <v>2</v>
      </c>
      <c r="AZ23" s="8">
        <v>1</v>
      </c>
      <c r="BA23" s="8">
        <v>1</v>
      </c>
      <c r="BB23" s="8">
        <v>1</v>
      </c>
      <c r="BC23" s="8">
        <v>1</v>
      </c>
      <c r="BD23" s="3">
        <v>1</v>
      </c>
      <c r="BE23" s="3">
        <v>1</v>
      </c>
      <c r="BF23" s="3">
        <v>1</v>
      </c>
      <c r="BG23" s="3">
        <v>1</v>
      </c>
      <c r="BH23" s="8">
        <v>1</v>
      </c>
      <c r="BI23" s="8">
        <v>1</v>
      </c>
      <c r="BJ23" s="8">
        <v>1</v>
      </c>
      <c r="BK23" s="8">
        <v>1</v>
      </c>
      <c r="BL23" s="8">
        <v>1</v>
      </c>
      <c r="BM23" s="8">
        <v>2</v>
      </c>
      <c r="BN23" s="8">
        <v>1</v>
      </c>
      <c r="BO23" s="3">
        <v>4</v>
      </c>
      <c r="BP23" s="3">
        <v>1</v>
      </c>
      <c r="BQ23" s="3">
        <v>1</v>
      </c>
      <c r="BR23" s="3">
        <v>1</v>
      </c>
      <c r="BS23" s="8">
        <v>1</v>
      </c>
      <c r="BT23" s="8">
        <v>1</v>
      </c>
      <c r="BU23" s="8">
        <v>1</v>
      </c>
      <c r="BV23" s="8">
        <v>1</v>
      </c>
      <c r="BW23" s="8">
        <v>1</v>
      </c>
      <c r="BX23" s="8">
        <v>1</v>
      </c>
      <c r="BY23" s="8">
        <v>1</v>
      </c>
      <c r="BZ23" s="3">
        <v>2</v>
      </c>
      <c r="CA23" s="3">
        <v>2</v>
      </c>
      <c r="CB23" s="3">
        <v>2</v>
      </c>
      <c r="CC23" s="3">
        <v>1</v>
      </c>
      <c r="CD23" s="8">
        <v>3</v>
      </c>
      <c r="CE23" s="8">
        <v>3</v>
      </c>
      <c r="CF23" s="8">
        <v>2</v>
      </c>
      <c r="CG23" s="8">
        <v>2</v>
      </c>
      <c r="CH23" s="8">
        <v>2</v>
      </c>
      <c r="CI23" s="3">
        <v>2</v>
      </c>
      <c r="CJ23" s="8">
        <v>2</v>
      </c>
      <c r="CK23" s="8">
        <v>2</v>
      </c>
      <c r="CL23" s="8">
        <v>2</v>
      </c>
      <c r="CM23" s="8">
        <v>2</v>
      </c>
      <c r="CN23" s="8">
        <v>3</v>
      </c>
      <c r="CO23" s="8">
        <v>3</v>
      </c>
      <c r="CP23" s="8">
        <v>2</v>
      </c>
      <c r="CQ23" s="3">
        <v>2</v>
      </c>
      <c r="CR23" s="3">
        <v>2</v>
      </c>
      <c r="CS23" s="3">
        <v>2</v>
      </c>
      <c r="CT23" s="8">
        <v>2</v>
      </c>
    </row>
    <row r="24" spans="1:98" ht="15" x14ac:dyDescent="0.25">
      <c r="A24" s="19" t="s">
        <v>168</v>
      </c>
      <c r="B24" s="20">
        <v>43</v>
      </c>
      <c r="C24" s="20">
        <v>46</v>
      </c>
      <c r="D24" s="20">
        <v>53</v>
      </c>
      <c r="E24" s="20">
        <v>48.4</v>
      </c>
      <c r="F24" s="17" t="s">
        <v>166</v>
      </c>
      <c r="G24" s="25">
        <v>2.5222000000000002</v>
      </c>
      <c r="H24" s="18">
        <v>45170</v>
      </c>
      <c r="I24" s="22" t="s">
        <v>103</v>
      </c>
      <c r="J24" s="22" t="s">
        <v>102</v>
      </c>
      <c r="K24" s="12"/>
      <c r="L24" s="22" t="s">
        <v>89</v>
      </c>
      <c r="M24" s="12"/>
      <c r="N24" s="22" t="s">
        <v>91</v>
      </c>
      <c r="O24" s="12"/>
      <c r="P24" s="41" t="s">
        <v>106</v>
      </c>
      <c r="Q24" s="3" t="s">
        <v>91</v>
      </c>
      <c r="R24" s="5"/>
      <c r="S24" s="41" t="s">
        <v>209</v>
      </c>
      <c r="T24" s="41" t="s">
        <v>160</v>
      </c>
      <c r="U24" s="41" t="s">
        <v>211</v>
      </c>
      <c r="V24" s="41" t="s">
        <v>90</v>
      </c>
      <c r="W24" s="8" t="s">
        <v>150</v>
      </c>
      <c r="X24" s="41" t="s">
        <v>90</v>
      </c>
      <c r="Y24" s="8" t="s">
        <v>151</v>
      </c>
      <c r="Z24" s="42">
        <v>2</v>
      </c>
      <c r="AA24" s="1">
        <v>2</v>
      </c>
      <c r="AB24" s="1">
        <v>2</v>
      </c>
      <c r="AC24" s="7">
        <v>1</v>
      </c>
      <c r="AD24" s="7">
        <v>2</v>
      </c>
      <c r="AE24" s="7">
        <v>2</v>
      </c>
      <c r="AF24" s="7">
        <v>3</v>
      </c>
      <c r="AG24" s="1">
        <v>1</v>
      </c>
      <c r="AH24" s="1">
        <v>1</v>
      </c>
      <c r="AI24" s="1">
        <v>1</v>
      </c>
      <c r="AJ24" s="1">
        <v>1</v>
      </c>
      <c r="AK24" s="7">
        <v>1</v>
      </c>
      <c r="AL24" s="1">
        <v>1</v>
      </c>
      <c r="AM24" s="1">
        <v>1</v>
      </c>
      <c r="AN24" s="7">
        <v>1</v>
      </c>
      <c r="AO24" s="7">
        <v>1</v>
      </c>
      <c r="AP24" s="7">
        <v>1</v>
      </c>
      <c r="AQ24" s="7">
        <v>1</v>
      </c>
      <c r="AR24" s="1">
        <v>1</v>
      </c>
      <c r="AS24" s="1">
        <v>1</v>
      </c>
      <c r="AT24" s="1">
        <v>1</v>
      </c>
      <c r="AU24" s="1">
        <v>1</v>
      </c>
      <c r="AV24" s="7">
        <v>1</v>
      </c>
      <c r="AW24" s="1">
        <v>1</v>
      </c>
      <c r="AX24" s="1">
        <v>1</v>
      </c>
      <c r="AY24" s="7">
        <v>1</v>
      </c>
      <c r="AZ24" s="7">
        <v>1</v>
      </c>
      <c r="BA24" s="7">
        <v>1</v>
      </c>
      <c r="BB24" s="7">
        <v>1</v>
      </c>
      <c r="BC24" s="1">
        <v>1</v>
      </c>
      <c r="BD24" s="1">
        <v>1</v>
      </c>
      <c r="BE24" s="1">
        <v>1</v>
      </c>
      <c r="BF24" s="1">
        <v>1</v>
      </c>
      <c r="BG24" s="7">
        <v>1</v>
      </c>
      <c r="BH24" s="1">
        <v>1</v>
      </c>
      <c r="BI24" s="1">
        <v>1</v>
      </c>
      <c r="BJ24" s="7">
        <v>1</v>
      </c>
      <c r="BK24" s="7">
        <v>4</v>
      </c>
      <c r="BL24" s="7">
        <v>3</v>
      </c>
      <c r="BM24" s="7">
        <v>1</v>
      </c>
      <c r="BN24" s="1">
        <v>1</v>
      </c>
      <c r="BO24" s="1">
        <v>1</v>
      </c>
      <c r="BP24" s="1">
        <v>4</v>
      </c>
      <c r="BQ24" s="1">
        <v>1</v>
      </c>
      <c r="BR24" s="7">
        <v>1</v>
      </c>
      <c r="BS24" s="1">
        <v>2</v>
      </c>
      <c r="BT24" s="1">
        <v>1</v>
      </c>
      <c r="BU24" s="7">
        <v>4</v>
      </c>
      <c r="BV24" s="7">
        <v>1</v>
      </c>
      <c r="BW24" s="7">
        <v>1</v>
      </c>
      <c r="BX24" s="7">
        <v>1</v>
      </c>
      <c r="BY24" s="1">
        <v>1</v>
      </c>
      <c r="BZ24" s="1">
        <v>3</v>
      </c>
      <c r="CA24" s="1">
        <v>2</v>
      </c>
      <c r="CB24" s="1">
        <v>2</v>
      </c>
      <c r="CC24" s="7">
        <v>2</v>
      </c>
      <c r="CD24" s="1">
        <v>3</v>
      </c>
      <c r="CE24" s="1">
        <v>4</v>
      </c>
      <c r="CF24" s="7">
        <v>2</v>
      </c>
      <c r="CG24" s="7">
        <v>4</v>
      </c>
      <c r="CH24" s="7">
        <v>2</v>
      </c>
      <c r="CI24" s="7">
        <v>2</v>
      </c>
      <c r="CJ24" s="1">
        <v>3</v>
      </c>
      <c r="CK24" s="1">
        <v>1</v>
      </c>
      <c r="CL24" s="7">
        <v>3</v>
      </c>
      <c r="CM24" s="7">
        <v>3</v>
      </c>
      <c r="CN24" s="7">
        <v>3</v>
      </c>
      <c r="CO24" s="7">
        <v>2</v>
      </c>
      <c r="CP24" s="1">
        <v>2</v>
      </c>
      <c r="CQ24" s="1">
        <v>2</v>
      </c>
      <c r="CR24" s="1">
        <v>2</v>
      </c>
      <c r="CS24" s="1">
        <v>3</v>
      </c>
      <c r="CT24" s="46">
        <v>2</v>
      </c>
    </row>
    <row r="25" spans="1:98" ht="15" x14ac:dyDescent="0.25">
      <c r="A25" s="19" t="s">
        <v>169</v>
      </c>
      <c r="B25" s="20">
        <v>59</v>
      </c>
      <c r="C25" s="20">
        <v>50</v>
      </c>
      <c r="D25" s="20">
        <v>59</v>
      </c>
      <c r="E25" s="20">
        <v>56.3</v>
      </c>
      <c r="F25" s="17" t="s">
        <v>166</v>
      </c>
      <c r="G25" s="25">
        <v>2.1124999999999998</v>
      </c>
      <c r="H25" s="18">
        <v>45170</v>
      </c>
      <c r="I25" s="22" t="s">
        <v>103</v>
      </c>
      <c r="J25" s="22" t="s">
        <v>102</v>
      </c>
      <c r="K25" s="12"/>
      <c r="L25" s="22" t="s">
        <v>89</v>
      </c>
      <c r="M25" s="12"/>
      <c r="N25" s="22" t="s">
        <v>91</v>
      </c>
      <c r="O25" s="12"/>
      <c r="P25" s="43" t="s">
        <v>112</v>
      </c>
      <c r="Q25" s="8" t="s">
        <v>91</v>
      </c>
      <c r="R25" s="38"/>
      <c r="S25" s="43" t="s">
        <v>209</v>
      </c>
      <c r="T25" s="43" t="s">
        <v>210</v>
      </c>
      <c r="U25" s="43" t="s">
        <v>211</v>
      </c>
      <c r="V25" s="43" t="s">
        <v>90</v>
      </c>
      <c r="W25" s="8" t="s">
        <v>122</v>
      </c>
      <c r="X25" s="41" t="s">
        <v>91</v>
      </c>
      <c r="Y25" s="12"/>
      <c r="Z25" s="47">
        <v>2</v>
      </c>
      <c r="AA25" s="8">
        <v>1</v>
      </c>
      <c r="AB25" s="8">
        <v>1</v>
      </c>
      <c r="AC25" s="8">
        <v>2</v>
      </c>
      <c r="AD25" s="8">
        <v>2</v>
      </c>
      <c r="AE25" s="8">
        <v>2</v>
      </c>
      <c r="AF25" s="8">
        <v>1</v>
      </c>
      <c r="AG25" s="8">
        <v>2</v>
      </c>
      <c r="AH25" s="8">
        <v>2</v>
      </c>
      <c r="AI25" s="8">
        <v>1</v>
      </c>
      <c r="AJ25" s="8">
        <v>2</v>
      </c>
      <c r="AK25" s="8">
        <v>1</v>
      </c>
      <c r="AL25" s="8">
        <v>1</v>
      </c>
      <c r="AM25" s="8">
        <v>1</v>
      </c>
      <c r="AN25" s="8">
        <v>1</v>
      </c>
      <c r="AO25" s="8">
        <v>1</v>
      </c>
      <c r="AP25" s="8">
        <v>1</v>
      </c>
      <c r="AQ25" s="8">
        <v>1</v>
      </c>
      <c r="AR25" s="8">
        <v>1</v>
      </c>
      <c r="AS25" s="8">
        <v>1</v>
      </c>
      <c r="AT25" s="8">
        <v>1</v>
      </c>
      <c r="AU25" s="8">
        <v>1</v>
      </c>
      <c r="AV25" s="8">
        <v>1</v>
      </c>
      <c r="AW25" s="8">
        <v>1</v>
      </c>
      <c r="AX25" s="8">
        <v>1</v>
      </c>
      <c r="AY25" s="8">
        <v>1</v>
      </c>
      <c r="AZ25" s="8">
        <v>1</v>
      </c>
      <c r="BA25" s="8">
        <v>1</v>
      </c>
      <c r="BB25" s="8">
        <v>1</v>
      </c>
      <c r="BC25" s="8">
        <v>1</v>
      </c>
      <c r="BD25" s="8">
        <v>1</v>
      </c>
      <c r="BE25" s="8">
        <v>1</v>
      </c>
      <c r="BF25" s="8">
        <v>1</v>
      </c>
      <c r="BG25" s="8">
        <v>1</v>
      </c>
      <c r="BH25" s="8">
        <v>1</v>
      </c>
      <c r="BI25" s="8">
        <v>1</v>
      </c>
      <c r="BJ25" s="8">
        <v>1</v>
      </c>
      <c r="BK25" s="8">
        <v>1</v>
      </c>
      <c r="BL25" s="8">
        <v>2</v>
      </c>
      <c r="BM25" s="8">
        <v>4</v>
      </c>
      <c r="BN25" s="8">
        <v>1</v>
      </c>
      <c r="BO25" s="8">
        <v>2</v>
      </c>
      <c r="BP25" s="8">
        <v>1</v>
      </c>
      <c r="BQ25" s="8">
        <v>1</v>
      </c>
      <c r="BR25" s="8">
        <v>3</v>
      </c>
      <c r="BS25" s="8">
        <v>1</v>
      </c>
      <c r="BT25" s="8">
        <v>1</v>
      </c>
      <c r="BU25" s="8">
        <v>1</v>
      </c>
      <c r="BV25" s="8">
        <v>1</v>
      </c>
      <c r="BW25" s="8">
        <v>1</v>
      </c>
      <c r="BX25" s="8">
        <v>1</v>
      </c>
      <c r="BY25" s="8">
        <v>1</v>
      </c>
      <c r="BZ25" s="8">
        <v>1</v>
      </c>
      <c r="CA25" s="8">
        <v>4</v>
      </c>
      <c r="CB25" s="8">
        <v>2</v>
      </c>
      <c r="CC25" s="8">
        <v>2</v>
      </c>
      <c r="CD25" s="8">
        <v>2</v>
      </c>
      <c r="CE25" s="8">
        <v>2</v>
      </c>
      <c r="CF25" s="8">
        <v>2</v>
      </c>
      <c r="CG25" s="8">
        <v>3</v>
      </c>
      <c r="CH25" s="8">
        <v>2</v>
      </c>
      <c r="CI25" s="8">
        <v>2</v>
      </c>
      <c r="CJ25" s="8">
        <v>2</v>
      </c>
      <c r="CK25" s="8">
        <v>2</v>
      </c>
      <c r="CL25" s="8">
        <v>3</v>
      </c>
      <c r="CM25" s="8">
        <v>1</v>
      </c>
      <c r="CN25" s="8">
        <v>2</v>
      </c>
      <c r="CO25" s="8">
        <v>3</v>
      </c>
      <c r="CP25" s="8">
        <v>2</v>
      </c>
      <c r="CQ25" s="8">
        <v>2</v>
      </c>
      <c r="CR25" s="8">
        <v>2</v>
      </c>
      <c r="CS25" s="8">
        <v>2</v>
      </c>
      <c r="CT25" s="8">
        <v>1</v>
      </c>
    </row>
    <row r="26" spans="1:98" ht="15" x14ac:dyDescent="0.25">
      <c r="A26" s="19" t="s">
        <v>212</v>
      </c>
      <c r="B26" s="20">
        <v>57</v>
      </c>
      <c r="C26" s="20">
        <v>50</v>
      </c>
      <c r="D26" s="20">
        <v>49</v>
      </c>
      <c r="E26" s="20">
        <v>51.3</v>
      </c>
      <c r="F26" s="17" t="s">
        <v>166</v>
      </c>
      <c r="G26" s="25">
        <v>2.0674999999999999</v>
      </c>
      <c r="H26" s="21">
        <v>45170</v>
      </c>
      <c r="I26" s="31" t="s">
        <v>115</v>
      </c>
      <c r="J26" s="31" t="s">
        <v>102</v>
      </c>
      <c r="K26" s="28"/>
      <c r="L26" s="31" t="s">
        <v>102</v>
      </c>
      <c r="M26" s="28"/>
      <c r="N26" s="31" t="s">
        <v>91</v>
      </c>
      <c r="O26" s="28"/>
      <c r="P26" s="41" t="s">
        <v>99</v>
      </c>
      <c r="Q26" s="3" t="s">
        <v>91</v>
      </c>
      <c r="R26" s="5"/>
      <c r="S26" s="41" t="s">
        <v>209</v>
      </c>
      <c r="T26" s="41" t="s">
        <v>160</v>
      </c>
      <c r="U26" s="41" t="s">
        <v>211</v>
      </c>
      <c r="V26" s="41" t="s">
        <v>91</v>
      </c>
      <c r="W26" s="28"/>
      <c r="X26" s="31" t="s">
        <v>90</v>
      </c>
      <c r="Y26" s="8" t="s">
        <v>108</v>
      </c>
      <c r="Z26" s="48">
        <v>2</v>
      </c>
      <c r="AA26" s="1">
        <v>1</v>
      </c>
      <c r="AB26" s="1">
        <v>3</v>
      </c>
      <c r="AC26" s="7">
        <v>1</v>
      </c>
      <c r="AD26" s="7">
        <v>2</v>
      </c>
      <c r="AE26" s="1">
        <v>1</v>
      </c>
      <c r="AF26" s="1">
        <v>1</v>
      </c>
      <c r="AG26" s="1">
        <v>2</v>
      </c>
      <c r="AH26" s="7">
        <v>2</v>
      </c>
      <c r="AI26" s="7">
        <v>1</v>
      </c>
      <c r="AJ26" s="1">
        <v>1</v>
      </c>
      <c r="AK26" s="1">
        <v>2</v>
      </c>
      <c r="AL26" s="1">
        <v>1</v>
      </c>
      <c r="AM26" s="1">
        <v>2</v>
      </c>
      <c r="AN26" s="7">
        <v>1</v>
      </c>
      <c r="AO26" s="7">
        <v>2</v>
      </c>
      <c r="AP26" s="1">
        <v>1</v>
      </c>
      <c r="AQ26" s="1">
        <v>1</v>
      </c>
      <c r="AR26" s="1">
        <v>1</v>
      </c>
      <c r="AS26" s="7">
        <v>2</v>
      </c>
      <c r="AT26" s="7">
        <v>1</v>
      </c>
      <c r="AU26" s="1">
        <v>3</v>
      </c>
      <c r="AV26" s="1">
        <v>2</v>
      </c>
      <c r="AW26" s="1">
        <v>2</v>
      </c>
      <c r="AX26" s="1">
        <v>1</v>
      </c>
      <c r="AY26" s="7">
        <v>1</v>
      </c>
      <c r="AZ26" s="7">
        <v>2</v>
      </c>
      <c r="BA26" s="1">
        <v>2</v>
      </c>
      <c r="BB26" s="1">
        <v>1</v>
      </c>
      <c r="BC26" s="1">
        <v>1</v>
      </c>
      <c r="BD26" s="7">
        <v>2</v>
      </c>
      <c r="BE26" s="7">
        <v>1</v>
      </c>
      <c r="BF26" s="1">
        <v>1</v>
      </c>
      <c r="BG26" s="1">
        <v>1</v>
      </c>
      <c r="BH26" s="1">
        <v>2</v>
      </c>
      <c r="BI26" s="1">
        <v>2</v>
      </c>
      <c r="BJ26" s="7">
        <v>1</v>
      </c>
      <c r="BK26" s="7">
        <v>4</v>
      </c>
      <c r="BL26" s="1">
        <v>1</v>
      </c>
      <c r="BM26" s="1">
        <v>2</v>
      </c>
      <c r="BN26" s="1">
        <v>1</v>
      </c>
      <c r="BO26" s="7">
        <v>1</v>
      </c>
      <c r="BP26" s="7">
        <v>1</v>
      </c>
      <c r="BQ26" s="1">
        <v>1</v>
      </c>
      <c r="BR26" s="1">
        <v>1</v>
      </c>
      <c r="BS26" s="1">
        <v>2</v>
      </c>
      <c r="BT26" s="1">
        <v>4</v>
      </c>
      <c r="BU26" s="7">
        <v>1</v>
      </c>
      <c r="BV26" s="7">
        <v>1</v>
      </c>
      <c r="BW26" s="1">
        <v>2</v>
      </c>
      <c r="BX26" s="1">
        <v>1</v>
      </c>
      <c r="BY26" s="1">
        <v>1</v>
      </c>
      <c r="BZ26" s="7">
        <v>2</v>
      </c>
      <c r="CA26" s="7">
        <v>3</v>
      </c>
      <c r="CB26" s="1">
        <v>2</v>
      </c>
      <c r="CC26" s="1">
        <v>2</v>
      </c>
      <c r="CD26" s="1">
        <v>2</v>
      </c>
      <c r="CE26" s="1">
        <v>3</v>
      </c>
      <c r="CF26" s="7">
        <v>3</v>
      </c>
      <c r="CG26" s="7">
        <v>3</v>
      </c>
      <c r="CH26" s="1">
        <v>4</v>
      </c>
      <c r="CI26" s="1">
        <v>3</v>
      </c>
      <c r="CJ26" s="1">
        <v>1</v>
      </c>
      <c r="CK26" s="1">
        <v>3</v>
      </c>
      <c r="CL26" s="7">
        <v>2</v>
      </c>
      <c r="CM26" s="7">
        <v>3</v>
      </c>
      <c r="CN26" s="1">
        <v>2</v>
      </c>
      <c r="CO26" s="1">
        <v>2</v>
      </c>
      <c r="CP26" s="1">
        <v>3</v>
      </c>
      <c r="CQ26" s="7">
        <v>2</v>
      </c>
      <c r="CR26" s="7">
        <v>2</v>
      </c>
      <c r="CS26" s="1">
        <v>3</v>
      </c>
      <c r="CT26" s="1">
        <v>1</v>
      </c>
    </row>
    <row r="27" spans="1:98" ht="15" x14ac:dyDescent="0.25">
      <c r="A27" s="19" t="s">
        <v>213</v>
      </c>
      <c r="B27" s="20">
        <v>50</v>
      </c>
      <c r="C27" s="20">
        <v>49</v>
      </c>
      <c r="D27" s="20">
        <v>38</v>
      </c>
      <c r="E27" s="20">
        <v>44.3</v>
      </c>
      <c r="F27" s="17" t="s">
        <v>166</v>
      </c>
      <c r="G27" s="25">
        <v>2.6122999999999998</v>
      </c>
      <c r="H27" s="21">
        <v>45170</v>
      </c>
      <c r="I27" s="31" t="s">
        <v>103</v>
      </c>
      <c r="J27" s="31" t="s">
        <v>102</v>
      </c>
      <c r="K27" s="28"/>
      <c r="L27" s="31" t="s">
        <v>102</v>
      </c>
      <c r="M27" s="28"/>
      <c r="N27" s="31" t="s">
        <v>90</v>
      </c>
      <c r="O27" s="31" t="s">
        <v>162</v>
      </c>
      <c r="P27" s="43" t="s">
        <v>99</v>
      </c>
      <c r="Q27" s="8" t="s">
        <v>90</v>
      </c>
      <c r="R27" s="8" t="s">
        <v>133</v>
      </c>
      <c r="S27" s="43" t="s">
        <v>91</v>
      </c>
      <c r="T27" s="43" t="s">
        <v>160</v>
      </c>
      <c r="U27" s="44"/>
      <c r="V27" s="43" t="s">
        <v>90</v>
      </c>
      <c r="W27" s="3" t="s">
        <v>150</v>
      </c>
      <c r="X27" s="41" t="s">
        <v>90</v>
      </c>
      <c r="Y27" s="8" t="s">
        <v>124</v>
      </c>
      <c r="Z27" s="47">
        <v>1</v>
      </c>
      <c r="AA27" s="8">
        <v>1</v>
      </c>
      <c r="AB27" s="8">
        <v>3</v>
      </c>
      <c r="AC27" s="8">
        <v>2</v>
      </c>
      <c r="AD27" s="8">
        <v>2</v>
      </c>
      <c r="AE27" s="3">
        <v>2</v>
      </c>
      <c r="AF27" s="8">
        <v>1</v>
      </c>
      <c r="AG27" s="8">
        <v>2</v>
      </c>
      <c r="AH27" s="8">
        <v>2</v>
      </c>
      <c r="AI27" s="8">
        <v>2</v>
      </c>
      <c r="AJ27" s="8">
        <v>2</v>
      </c>
      <c r="AK27" s="8">
        <v>2</v>
      </c>
      <c r="AL27" s="8">
        <v>1</v>
      </c>
      <c r="AM27" s="8">
        <v>1</v>
      </c>
      <c r="AN27" s="8">
        <v>1</v>
      </c>
      <c r="AO27" s="8">
        <v>1</v>
      </c>
      <c r="AP27" s="3">
        <v>1</v>
      </c>
      <c r="AQ27" s="8">
        <v>1</v>
      </c>
      <c r="AR27" s="8">
        <v>1</v>
      </c>
      <c r="AS27" s="8">
        <v>1</v>
      </c>
      <c r="AT27" s="8">
        <v>1</v>
      </c>
      <c r="AU27" s="8">
        <v>1</v>
      </c>
      <c r="AV27" s="8">
        <v>1</v>
      </c>
      <c r="AW27" s="8">
        <v>1</v>
      </c>
      <c r="AX27" s="8">
        <v>1</v>
      </c>
      <c r="AY27" s="8">
        <v>1</v>
      </c>
      <c r="AZ27" s="8">
        <v>1</v>
      </c>
      <c r="BA27" s="3">
        <v>1</v>
      </c>
      <c r="BB27" s="8">
        <v>1</v>
      </c>
      <c r="BC27" s="8">
        <v>1</v>
      </c>
      <c r="BD27" s="8">
        <v>1</v>
      </c>
      <c r="BE27" s="8">
        <v>1</v>
      </c>
      <c r="BF27" s="8">
        <v>1</v>
      </c>
      <c r="BG27" s="8">
        <v>1</v>
      </c>
      <c r="BH27" s="8">
        <v>1</v>
      </c>
      <c r="BI27" s="8">
        <v>1</v>
      </c>
      <c r="BJ27" s="8">
        <v>1</v>
      </c>
      <c r="BK27" s="8">
        <v>1</v>
      </c>
      <c r="BL27" s="3">
        <v>1</v>
      </c>
      <c r="BM27" s="8">
        <v>1</v>
      </c>
      <c r="BN27" s="8">
        <v>1</v>
      </c>
      <c r="BO27" s="8">
        <v>1</v>
      </c>
      <c r="BP27" s="8">
        <v>1</v>
      </c>
      <c r="BQ27" s="8">
        <v>1</v>
      </c>
      <c r="BR27" s="8">
        <v>1</v>
      </c>
      <c r="BS27" s="8">
        <v>1</v>
      </c>
      <c r="BT27" s="8">
        <v>1</v>
      </c>
      <c r="BU27" s="8">
        <v>3</v>
      </c>
      <c r="BV27" s="8">
        <v>1</v>
      </c>
      <c r="BW27" s="3">
        <v>1</v>
      </c>
      <c r="BX27" s="8">
        <v>1</v>
      </c>
      <c r="BY27" s="8">
        <v>1</v>
      </c>
      <c r="BZ27" s="8">
        <v>3</v>
      </c>
      <c r="CA27" s="8">
        <v>2</v>
      </c>
      <c r="CB27" s="8">
        <v>3</v>
      </c>
      <c r="CC27" s="8">
        <v>1</v>
      </c>
      <c r="CD27" s="8">
        <v>3</v>
      </c>
      <c r="CE27" s="8">
        <v>1</v>
      </c>
      <c r="CF27" s="8">
        <v>3</v>
      </c>
      <c r="CG27" s="8">
        <v>2</v>
      </c>
      <c r="CH27" s="3">
        <v>3</v>
      </c>
      <c r="CI27" s="8">
        <v>2</v>
      </c>
      <c r="CJ27" s="8">
        <v>1</v>
      </c>
      <c r="CK27" s="8">
        <v>3</v>
      </c>
      <c r="CL27" s="8">
        <v>3</v>
      </c>
      <c r="CM27" s="8">
        <v>2</v>
      </c>
      <c r="CN27" s="3">
        <v>3</v>
      </c>
      <c r="CO27" s="8">
        <v>3</v>
      </c>
      <c r="CP27" s="8">
        <v>2</v>
      </c>
      <c r="CQ27" s="8">
        <v>2</v>
      </c>
      <c r="CR27" s="8">
        <v>2</v>
      </c>
      <c r="CS27" s="8">
        <v>1</v>
      </c>
      <c r="CT27" s="8">
        <v>2</v>
      </c>
    </row>
    <row r="28" spans="1:98" ht="15" x14ac:dyDescent="0.25">
      <c r="A28" s="19" t="s">
        <v>171</v>
      </c>
      <c r="B28" s="49">
        <v>69</v>
      </c>
      <c r="C28" s="33">
        <v>48</v>
      </c>
      <c r="D28" s="33">
        <v>55</v>
      </c>
      <c r="E28" s="33">
        <v>56.4</v>
      </c>
      <c r="F28" s="17" t="s">
        <v>166</v>
      </c>
      <c r="G28" s="25">
        <v>1.82944</v>
      </c>
      <c r="H28" s="21">
        <v>45170</v>
      </c>
      <c r="I28" s="31" t="s">
        <v>110</v>
      </c>
      <c r="J28" s="31" t="s">
        <v>102</v>
      </c>
      <c r="K28" s="28"/>
      <c r="L28" s="31" t="s">
        <v>102</v>
      </c>
      <c r="M28" s="28"/>
      <c r="N28" s="31" t="s">
        <v>91</v>
      </c>
      <c r="O28" s="28"/>
      <c r="P28" s="41" t="s">
        <v>99</v>
      </c>
      <c r="Q28" s="3" t="s">
        <v>91</v>
      </c>
      <c r="R28" s="5"/>
      <c r="S28" s="41" t="s">
        <v>209</v>
      </c>
      <c r="T28" s="41" t="s">
        <v>160</v>
      </c>
      <c r="U28" s="41" t="s">
        <v>211</v>
      </c>
      <c r="V28" s="41" t="s">
        <v>91</v>
      </c>
      <c r="W28" s="28"/>
      <c r="X28" s="41" t="s">
        <v>90</v>
      </c>
      <c r="Y28" s="3" t="s">
        <v>95</v>
      </c>
      <c r="Z28" s="48">
        <v>2</v>
      </c>
      <c r="AA28" s="1">
        <v>2</v>
      </c>
      <c r="AB28" s="1">
        <v>2</v>
      </c>
      <c r="AC28" s="1">
        <v>2</v>
      </c>
      <c r="AD28" s="1">
        <v>2</v>
      </c>
      <c r="AE28" s="1">
        <v>1</v>
      </c>
      <c r="AF28" s="1">
        <v>2</v>
      </c>
      <c r="AG28" s="1">
        <v>1</v>
      </c>
      <c r="AH28" s="1">
        <v>1</v>
      </c>
      <c r="AI28" s="1">
        <v>1</v>
      </c>
      <c r="AJ28" s="1">
        <v>1</v>
      </c>
      <c r="AK28" s="1">
        <v>1</v>
      </c>
      <c r="AL28" s="1">
        <v>2</v>
      </c>
      <c r="AM28" s="1">
        <v>2</v>
      </c>
      <c r="AN28" s="1">
        <v>2</v>
      </c>
      <c r="AO28" s="1">
        <v>2</v>
      </c>
      <c r="AP28" s="1">
        <v>2</v>
      </c>
      <c r="AQ28" s="1">
        <v>2</v>
      </c>
      <c r="AR28" s="1">
        <v>2</v>
      </c>
      <c r="AS28" s="1">
        <v>2</v>
      </c>
      <c r="AT28" s="1">
        <v>2</v>
      </c>
      <c r="AU28" s="1">
        <v>2</v>
      </c>
      <c r="AV28" s="1">
        <v>2</v>
      </c>
      <c r="AW28" s="1">
        <v>1</v>
      </c>
      <c r="AX28" s="1">
        <v>1</v>
      </c>
      <c r="AY28" s="1">
        <v>2</v>
      </c>
      <c r="AZ28" s="1">
        <v>2</v>
      </c>
      <c r="BA28" s="1">
        <v>2</v>
      </c>
      <c r="BB28" s="1">
        <v>2</v>
      </c>
      <c r="BC28" s="1">
        <v>2</v>
      </c>
      <c r="BD28" s="1">
        <v>2</v>
      </c>
      <c r="BE28" s="1">
        <v>2</v>
      </c>
      <c r="BF28" s="1">
        <v>2</v>
      </c>
      <c r="BG28" s="1">
        <v>2</v>
      </c>
      <c r="BH28" s="1">
        <v>2</v>
      </c>
      <c r="BI28" s="1">
        <v>2</v>
      </c>
      <c r="BJ28" s="1">
        <v>2</v>
      </c>
      <c r="BK28" s="1">
        <v>2</v>
      </c>
      <c r="BL28" s="1">
        <v>2</v>
      </c>
      <c r="BM28" s="1">
        <v>2</v>
      </c>
      <c r="BN28" s="1">
        <v>2</v>
      </c>
      <c r="BO28" s="1">
        <v>2</v>
      </c>
      <c r="BP28" s="1">
        <v>2</v>
      </c>
      <c r="BQ28" s="1">
        <v>2</v>
      </c>
      <c r="BR28" s="1">
        <v>2</v>
      </c>
      <c r="BS28" s="1">
        <v>2</v>
      </c>
      <c r="BT28" s="1">
        <v>2</v>
      </c>
      <c r="BU28" s="1">
        <v>2</v>
      </c>
      <c r="BV28" s="1">
        <v>2</v>
      </c>
      <c r="BW28" s="1">
        <v>2</v>
      </c>
      <c r="BX28" s="1">
        <v>2</v>
      </c>
      <c r="BY28" s="1">
        <v>2</v>
      </c>
      <c r="BZ28" s="1">
        <v>4</v>
      </c>
      <c r="CA28" s="1">
        <v>2</v>
      </c>
      <c r="CB28" s="1">
        <v>2</v>
      </c>
      <c r="CC28" s="1">
        <v>4</v>
      </c>
      <c r="CD28" s="1">
        <v>3</v>
      </c>
      <c r="CE28" s="1">
        <v>2</v>
      </c>
      <c r="CF28" s="1">
        <v>3</v>
      </c>
      <c r="CG28" s="1">
        <v>3</v>
      </c>
      <c r="CH28" s="1">
        <v>2</v>
      </c>
      <c r="CI28" s="1">
        <v>3</v>
      </c>
      <c r="CJ28" s="1">
        <v>3</v>
      </c>
      <c r="CK28" s="1">
        <v>3</v>
      </c>
      <c r="CL28" s="1">
        <v>3</v>
      </c>
      <c r="CM28" s="1">
        <v>2</v>
      </c>
      <c r="CN28" s="1">
        <v>3</v>
      </c>
      <c r="CO28" s="1">
        <v>3</v>
      </c>
      <c r="CP28" s="1">
        <v>3</v>
      </c>
      <c r="CQ28" s="1">
        <v>2</v>
      </c>
      <c r="CR28" s="1">
        <v>3</v>
      </c>
      <c r="CS28" s="1">
        <v>3</v>
      </c>
      <c r="CT28" s="1">
        <v>1</v>
      </c>
    </row>
    <row r="29" spans="1:98" ht="12.75" x14ac:dyDescent="0.2">
      <c r="A29" s="19" t="s">
        <v>184</v>
      </c>
      <c r="B29" s="20">
        <v>86</v>
      </c>
      <c r="C29" s="20">
        <v>81</v>
      </c>
      <c r="D29" s="20">
        <v>86</v>
      </c>
      <c r="E29" s="20">
        <v>84.5</v>
      </c>
      <c r="F29" s="17" t="str">
        <f t="shared" ref="F29:F43" si="2">IF(E29&gt;=70,"PASSED", "---")</f>
        <v>PASSED</v>
      </c>
      <c r="G29" s="17">
        <v>1.75</v>
      </c>
      <c r="H29" s="21">
        <v>45383</v>
      </c>
      <c r="I29" s="3" t="s">
        <v>103</v>
      </c>
      <c r="J29" s="3" t="s">
        <v>102</v>
      </c>
      <c r="K29" s="5"/>
      <c r="L29" s="3" t="s">
        <v>90</v>
      </c>
      <c r="M29" s="3" t="s">
        <v>125</v>
      </c>
      <c r="N29" s="3" t="s">
        <v>91</v>
      </c>
      <c r="O29" s="5"/>
      <c r="P29" s="3" t="s">
        <v>106</v>
      </c>
      <c r="Q29" s="8" t="s">
        <v>91</v>
      </c>
      <c r="R29" s="38"/>
      <c r="S29" s="3" t="s">
        <v>91</v>
      </c>
      <c r="T29" s="3" t="s">
        <v>101</v>
      </c>
      <c r="U29" s="5"/>
      <c r="V29" s="3" t="s">
        <v>91</v>
      </c>
      <c r="W29" s="5"/>
      <c r="X29" s="3" t="s">
        <v>91</v>
      </c>
      <c r="Y29" s="5"/>
      <c r="Z29" s="3">
        <v>2</v>
      </c>
      <c r="AA29" s="3">
        <v>1</v>
      </c>
      <c r="AB29" s="3">
        <v>2</v>
      </c>
      <c r="AC29" s="3">
        <v>2</v>
      </c>
      <c r="AD29" s="3">
        <v>2</v>
      </c>
      <c r="AE29" s="3">
        <v>1</v>
      </c>
      <c r="AF29" s="3">
        <v>2</v>
      </c>
      <c r="AG29" s="3">
        <v>2</v>
      </c>
      <c r="AH29" s="3">
        <v>2</v>
      </c>
      <c r="AI29" s="3">
        <v>2</v>
      </c>
      <c r="AJ29" s="3">
        <v>2</v>
      </c>
      <c r="AK29" s="3">
        <v>2</v>
      </c>
      <c r="AL29" s="3">
        <v>2</v>
      </c>
      <c r="AM29" s="3">
        <v>2</v>
      </c>
      <c r="AN29" s="3">
        <v>2</v>
      </c>
      <c r="AO29" s="3">
        <v>2</v>
      </c>
      <c r="AP29" s="3">
        <v>2</v>
      </c>
      <c r="AQ29" s="3">
        <v>2</v>
      </c>
      <c r="AR29" s="3">
        <v>2</v>
      </c>
      <c r="AS29" s="3">
        <v>2</v>
      </c>
      <c r="AT29" s="3">
        <v>2</v>
      </c>
      <c r="AU29" s="3">
        <v>2</v>
      </c>
      <c r="AV29" s="3">
        <v>2</v>
      </c>
      <c r="AW29" s="3">
        <v>2</v>
      </c>
      <c r="AX29" s="3">
        <v>2</v>
      </c>
      <c r="AY29" s="3">
        <v>2</v>
      </c>
      <c r="AZ29" s="3">
        <v>2</v>
      </c>
      <c r="BA29" s="3">
        <v>3</v>
      </c>
      <c r="BB29" s="3">
        <v>3</v>
      </c>
      <c r="BC29" s="3">
        <v>3</v>
      </c>
      <c r="BD29" s="3">
        <v>3</v>
      </c>
      <c r="BE29" s="3">
        <v>3</v>
      </c>
      <c r="BF29" s="3">
        <v>2</v>
      </c>
      <c r="BG29" s="3">
        <v>2</v>
      </c>
      <c r="BH29" s="3">
        <v>1</v>
      </c>
      <c r="BI29" s="3">
        <v>3</v>
      </c>
      <c r="BJ29" s="3">
        <v>1</v>
      </c>
      <c r="BK29" s="3">
        <v>2</v>
      </c>
      <c r="BL29" s="3">
        <v>2</v>
      </c>
      <c r="BM29" s="3">
        <v>2</v>
      </c>
      <c r="BN29" s="3">
        <v>1</v>
      </c>
      <c r="BO29" s="3">
        <v>2</v>
      </c>
      <c r="BP29" s="3">
        <v>1</v>
      </c>
      <c r="BQ29" s="3">
        <v>2</v>
      </c>
      <c r="BR29" s="3">
        <v>1</v>
      </c>
      <c r="BS29" s="3">
        <v>1</v>
      </c>
      <c r="BT29" s="3">
        <v>1</v>
      </c>
      <c r="BU29" s="3">
        <v>1</v>
      </c>
      <c r="BV29" s="3">
        <v>2</v>
      </c>
      <c r="BW29" s="3">
        <v>2</v>
      </c>
      <c r="BX29" s="3">
        <v>2</v>
      </c>
      <c r="BY29" s="3">
        <v>2</v>
      </c>
      <c r="BZ29" s="3">
        <v>2</v>
      </c>
      <c r="CA29" s="3">
        <v>2</v>
      </c>
      <c r="CB29" s="3">
        <v>2</v>
      </c>
      <c r="CC29" s="3">
        <v>2</v>
      </c>
      <c r="CD29" s="3">
        <v>2</v>
      </c>
      <c r="CE29" s="3">
        <v>2</v>
      </c>
      <c r="CF29" s="3">
        <v>2</v>
      </c>
      <c r="CG29" s="3">
        <v>3</v>
      </c>
      <c r="CH29" s="3">
        <v>2</v>
      </c>
      <c r="CI29" s="3">
        <v>2</v>
      </c>
      <c r="CJ29" s="3">
        <v>2</v>
      </c>
      <c r="CK29" s="3">
        <v>3</v>
      </c>
      <c r="CL29" s="3">
        <v>3</v>
      </c>
      <c r="CM29" s="3">
        <v>2</v>
      </c>
      <c r="CN29" s="3">
        <v>2</v>
      </c>
      <c r="CO29" s="3">
        <v>2</v>
      </c>
      <c r="CP29" s="3">
        <v>2</v>
      </c>
      <c r="CQ29" s="3">
        <v>2</v>
      </c>
      <c r="CR29" s="3">
        <v>2</v>
      </c>
      <c r="CS29" s="3">
        <v>2</v>
      </c>
      <c r="CT29" s="3">
        <v>2</v>
      </c>
    </row>
    <row r="30" spans="1:98" ht="12.75" x14ac:dyDescent="0.2">
      <c r="A30" s="19" t="s">
        <v>185</v>
      </c>
      <c r="B30" s="20">
        <v>82</v>
      </c>
      <c r="C30" s="20">
        <v>75</v>
      </c>
      <c r="D30" s="20">
        <v>86</v>
      </c>
      <c r="E30" s="20">
        <v>81.7</v>
      </c>
      <c r="F30" s="17" t="str">
        <f t="shared" si="2"/>
        <v>PASSED</v>
      </c>
      <c r="G30" s="17">
        <v>2.0339999999999998</v>
      </c>
      <c r="H30" s="21">
        <v>45383</v>
      </c>
      <c r="I30" s="3" t="s">
        <v>115</v>
      </c>
      <c r="J30" s="3" t="s">
        <v>89</v>
      </c>
      <c r="K30" s="3" t="s">
        <v>119</v>
      </c>
      <c r="L30" s="3" t="s">
        <v>91</v>
      </c>
      <c r="M30" s="5"/>
      <c r="N30" s="3" t="s">
        <v>91</v>
      </c>
      <c r="O30" s="5"/>
      <c r="P30" s="3" t="s">
        <v>106</v>
      </c>
      <c r="Q30" s="3" t="s">
        <v>91</v>
      </c>
      <c r="R30" s="5"/>
      <c r="S30" s="3" t="s">
        <v>91</v>
      </c>
      <c r="T30" s="3" t="s">
        <v>101</v>
      </c>
      <c r="U30" s="3" t="s">
        <v>153</v>
      </c>
      <c r="V30" s="3" t="s">
        <v>91</v>
      </c>
      <c r="W30" s="5"/>
      <c r="X30" s="3" t="s">
        <v>91</v>
      </c>
      <c r="Y30" s="5"/>
      <c r="Z30" s="3">
        <v>2</v>
      </c>
      <c r="AA30" s="3">
        <v>2</v>
      </c>
      <c r="AB30" s="3">
        <v>1</v>
      </c>
      <c r="AC30" s="3">
        <v>2</v>
      </c>
      <c r="AD30" s="3">
        <v>1</v>
      </c>
      <c r="AE30" s="3">
        <v>1</v>
      </c>
      <c r="AF30" s="3">
        <v>2</v>
      </c>
      <c r="AG30" s="3">
        <v>2</v>
      </c>
      <c r="AH30" s="3">
        <v>1</v>
      </c>
      <c r="AI30" s="3">
        <v>1</v>
      </c>
      <c r="AJ30" s="3">
        <v>1</v>
      </c>
      <c r="AK30" s="3">
        <v>1</v>
      </c>
      <c r="AL30" s="3">
        <v>1</v>
      </c>
      <c r="AM30" s="3">
        <v>2</v>
      </c>
      <c r="AN30" s="3">
        <v>3</v>
      </c>
      <c r="AO30" s="3">
        <v>2</v>
      </c>
      <c r="AP30" s="3">
        <v>1</v>
      </c>
      <c r="AQ30" s="3">
        <v>1</v>
      </c>
      <c r="AR30" s="3">
        <v>2</v>
      </c>
      <c r="AS30" s="3">
        <v>2</v>
      </c>
      <c r="AT30" s="3">
        <v>3</v>
      </c>
      <c r="AU30" s="3">
        <v>3</v>
      </c>
      <c r="AV30" s="3">
        <v>3</v>
      </c>
      <c r="AW30" s="3">
        <v>2</v>
      </c>
      <c r="AX30" s="3">
        <v>1</v>
      </c>
      <c r="AY30" s="3">
        <v>1</v>
      </c>
      <c r="AZ30" s="3">
        <v>1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>
        <v>1</v>
      </c>
      <c r="BI30" s="3">
        <v>1</v>
      </c>
      <c r="BJ30" s="3">
        <v>1</v>
      </c>
      <c r="BK30" s="3">
        <v>1</v>
      </c>
      <c r="BL30" s="3">
        <v>1</v>
      </c>
      <c r="BM30" s="3">
        <v>1</v>
      </c>
      <c r="BN30" s="3">
        <v>2</v>
      </c>
      <c r="BO30" s="3">
        <v>2</v>
      </c>
      <c r="BP30" s="3">
        <v>1</v>
      </c>
      <c r="BQ30" s="3">
        <v>1</v>
      </c>
      <c r="BR30" s="3">
        <v>2</v>
      </c>
      <c r="BS30" s="3">
        <v>1</v>
      </c>
      <c r="BT30" s="3">
        <v>1</v>
      </c>
      <c r="BU30" s="3">
        <v>1</v>
      </c>
      <c r="BV30" s="3">
        <v>1</v>
      </c>
      <c r="BW30" s="3">
        <v>1</v>
      </c>
      <c r="BX30" s="3">
        <v>1</v>
      </c>
      <c r="BY30" s="3">
        <v>1</v>
      </c>
      <c r="BZ30" s="3">
        <v>1</v>
      </c>
      <c r="CA30" s="3">
        <v>1</v>
      </c>
      <c r="CB30" s="3">
        <v>1</v>
      </c>
      <c r="CC30" s="3">
        <v>1</v>
      </c>
      <c r="CD30" s="3">
        <v>1</v>
      </c>
      <c r="CE30" s="3">
        <v>1</v>
      </c>
      <c r="CF30" s="3">
        <v>1</v>
      </c>
      <c r="CG30" s="3">
        <v>1</v>
      </c>
      <c r="CH30" s="3">
        <v>1</v>
      </c>
      <c r="CI30" s="3">
        <v>1</v>
      </c>
      <c r="CJ30" s="3">
        <v>1</v>
      </c>
      <c r="CK30" s="3">
        <v>1</v>
      </c>
      <c r="CL30" s="3">
        <v>2</v>
      </c>
      <c r="CM30" s="3">
        <v>3</v>
      </c>
      <c r="CN30" s="3">
        <v>2</v>
      </c>
      <c r="CO30" s="3">
        <v>2</v>
      </c>
      <c r="CP30" s="3">
        <v>1</v>
      </c>
      <c r="CQ30" s="3">
        <v>1</v>
      </c>
      <c r="CR30" s="3">
        <v>1</v>
      </c>
      <c r="CS30" s="3">
        <v>1</v>
      </c>
      <c r="CT30" s="3">
        <v>1</v>
      </c>
    </row>
    <row r="31" spans="1:98" ht="12.75" x14ac:dyDescent="0.2">
      <c r="A31" s="19" t="s">
        <v>186</v>
      </c>
      <c r="B31" s="20">
        <v>77</v>
      </c>
      <c r="C31" s="20">
        <v>75</v>
      </c>
      <c r="D31" s="20">
        <v>82</v>
      </c>
      <c r="E31" s="20">
        <v>78.650000000000006</v>
      </c>
      <c r="F31" s="17" t="str">
        <f t="shared" si="2"/>
        <v>PASSED</v>
      </c>
      <c r="G31" s="17">
        <v>1.829</v>
      </c>
      <c r="H31" s="21">
        <v>45383</v>
      </c>
      <c r="I31" s="3" t="s">
        <v>103</v>
      </c>
      <c r="J31" s="3" t="s">
        <v>102</v>
      </c>
      <c r="K31" s="5"/>
      <c r="L31" s="3" t="s">
        <v>91</v>
      </c>
      <c r="M31" s="5"/>
      <c r="N31" s="3" t="s">
        <v>91</v>
      </c>
      <c r="O31" s="5"/>
      <c r="P31" s="3" t="s">
        <v>106</v>
      </c>
      <c r="Q31" s="8" t="s">
        <v>91</v>
      </c>
      <c r="R31" s="38"/>
      <c r="S31" s="3" t="s">
        <v>91</v>
      </c>
      <c r="T31" s="3" t="s">
        <v>101</v>
      </c>
      <c r="U31" s="5"/>
      <c r="V31" s="3" t="s">
        <v>90</v>
      </c>
      <c r="W31" s="3" t="s">
        <v>143</v>
      </c>
      <c r="X31" s="3" t="s">
        <v>91</v>
      </c>
      <c r="Y31" s="5"/>
      <c r="Z31" s="3">
        <v>3</v>
      </c>
      <c r="AA31" s="3">
        <v>2</v>
      </c>
      <c r="AB31" s="3">
        <v>3</v>
      </c>
      <c r="AC31" s="3">
        <v>3</v>
      </c>
      <c r="AD31" s="3">
        <v>3</v>
      </c>
      <c r="AE31" s="3">
        <v>2</v>
      </c>
      <c r="AF31" s="3">
        <v>2</v>
      </c>
      <c r="AG31" s="3">
        <v>2</v>
      </c>
      <c r="AH31" s="3">
        <v>2</v>
      </c>
      <c r="AI31" s="3">
        <v>2</v>
      </c>
      <c r="AJ31" s="3">
        <v>2</v>
      </c>
      <c r="AK31" s="3">
        <v>2</v>
      </c>
      <c r="AL31" s="3">
        <v>3</v>
      </c>
      <c r="AM31" s="3">
        <v>3</v>
      </c>
      <c r="AN31" s="3">
        <v>3</v>
      </c>
      <c r="AO31" s="3">
        <v>3</v>
      </c>
      <c r="AP31" s="3">
        <v>3</v>
      </c>
      <c r="AQ31" s="3">
        <v>3</v>
      </c>
      <c r="AR31" s="3">
        <v>2</v>
      </c>
      <c r="AS31" s="3">
        <v>2</v>
      </c>
      <c r="AT31" s="3">
        <v>2</v>
      </c>
      <c r="AU31" s="3">
        <v>3</v>
      </c>
      <c r="AV31" s="3">
        <v>3</v>
      </c>
      <c r="AW31" s="3">
        <v>3</v>
      </c>
      <c r="AX31" s="3">
        <v>3</v>
      </c>
      <c r="AY31" s="3">
        <v>1</v>
      </c>
      <c r="AZ31" s="3">
        <v>2</v>
      </c>
      <c r="BA31" s="3">
        <v>4</v>
      </c>
      <c r="BB31" s="3">
        <v>4</v>
      </c>
      <c r="BC31" s="3">
        <v>3</v>
      </c>
      <c r="BD31" s="3">
        <v>2</v>
      </c>
      <c r="BE31" s="3">
        <v>2</v>
      </c>
      <c r="BF31" s="3">
        <v>1</v>
      </c>
      <c r="BG31" s="3">
        <v>3</v>
      </c>
      <c r="BH31" s="3">
        <v>3</v>
      </c>
      <c r="BI31" s="3">
        <v>3</v>
      </c>
      <c r="BJ31" s="3">
        <v>1</v>
      </c>
      <c r="BK31" s="3">
        <v>1</v>
      </c>
      <c r="BL31" s="3">
        <v>4</v>
      </c>
      <c r="BM31" s="3">
        <v>3</v>
      </c>
      <c r="BN31" s="3">
        <v>1</v>
      </c>
      <c r="BO31" s="3">
        <v>1</v>
      </c>
      <c r="BP31" s="3">
        <v>1</v>
      </c>
      <c r="BQ31" s="3">
        <v>1</v>
      </c>
      <c r="BR31" s="3">
        <v>1</v>
      </c>
      <c r="BS31" s="3">
        <v>1</v>
      </c>
      <c r="BT31" s="3">
        <v>1</v>
      </c>
      <c r="BU31" s="3">
        <v>3</v>
      </c>
      <c r="BV31" s="3">
        <v>2</v>
      </c>
      <c r="BW31" s="3">
        <v>2</v>
      </c>
      <c r="BX31" s="3">
        <v>2</v>
      </c>
      <c r="BY31" s="3">
        <v>2</v>
      </c>
      <c r="BZ31" s="3">
        <v>2</v>
      </c>
      <c r="CA31" s="3">
        <v>1</v>
      </c>
      <c r="CB31" s="3">
        <v>2</v>
      </c>
      <c r="CC31" s="3">
        <v>2</v>
      </c>
      <c r="CD31" s="3">
        <v>2</v>
      </c>
      <c r="CE31" s="3">
        <v>2</v>
      </c>
      <c r="CF31" s="3">
        <v>1</v>
      </c>
      <c r="CG31" s="3">
        <v>2</v>
      </c>
      <c r="CH31" s="3">
        <v>2</v>
      </c>
      <c r="CI31" s="3">
        <v>2</v>
      </c>
      <c r="CJ31" s="3">
        <v>1</v>
      </c>
      <c r="CK31" s="3">
        <v>1</v>
      </c>
      <c r="CL31" s="3">
        <v>1</v>
      </c>
      <c r="CM31" s="3">
        <v>2</v>
      </c>
      <c r="CN31" s="3">
        <v>1</v>
      </c>
      <c r="CO31" s="3">
        <v>1</v>
      </c>
      <c r="CP31" s="3">
        <v>1</v>
      </c>
      <c r="CQ31" s="3">
        <v>2</v>
      </c>
      <c r="CR31" s="3">
        <v>2</v>
      </c>
      <c r="CS31" s="3">
        <v>1</v>
      </c>
      <c r="CT31" s="3">
        <v>2</v>
      </c>
    </row>
    <row r="32" spans="1:98" ht="12.75" x14ac:dyDescent="0.2">
      <c r="A32" s="19" t="s">
        <v>187</v>
      </c>
      <c r="B32" s="20">
        <v>70</v>
      </c>
      <c r="C32" s="20">
        <v>70</v>
      </c>
      <c r="D32" s="20">
        <v>70</v>
      </c>
      <c r="E32" s="20">
        <v>70</v>
      </c>
      <c r="F32" s="17" t="str">
        <f t="shared" si="2"/>
        <v>PASSED</v>
      </c>
      <c r="G32" s="17">
        <v>1.7010000000000001</v>
      </c>
      <c r="H32" s="21">
        <v>45383</v>
      </c>
      <c r="I32" s="3" t="s">
        <v>103</v>
      </c>
      <c r="J32" s="3" t="s">
        <v>102</v>
      </c>
      <c r="K32" s="5"/>
      <c r="L32" s="3" t="s">
        <v>90</v>
      </c>
      <c r="M32" s="3" t="s">
        <v>97</v>
      </c>
      <c r="N32" s="3" t="s">
        <v>91</v>
      </c>
      <c r="O32" s="5"/>
      <c r="P32" s="3" t="s">
        <v>99</v>
      </c>
      <c r="Q32" s="3" t="s">
        <v>91</v>
      </c>
      <c r="R32" s="5"/>
      <c r="S32" s="3" t="s">
        <v>91</v>
      </c>
      <c r="T32" s="3" t="s">
        <v>101</v>
      </c>
      <c r="U32" s="5"/>
      <c r="V32" s="3" t="s">
        <v>91</v>
      </c>
      <c r="W32" s="5"/>
      <c r="X32" s="3" t="s">
        <v>91</v>
      </c>
      <c r="Y32" s="5"/>
      <c r="Z32" s="3">
        <v>2</v>
      </c>
      <c r="AA32" s="3">
        <v>2</v>
      </c>
      <c r="AB32" s="3">
        <v>1</v>
      </c>
      <c r="AC32" s="3">
        <v>1</v>
      </c>
      <c r="AD32" s="3">
        <v>2</v>
      </c>
      <c r="AE32" s="3">
        <v>1</v>
      </c>
      <c r="AF32" s="3">
        <v>1</v>
      </c>
      <c r="AG32" s="3">
        <v>1</v>
      </c>
      <c r="AH32" s="3">
        <v>1</v>
      </c>
      <c r="AI32" s="3">
        <v>1</v>
      </c>
      <c r="AJ32" s="3">
        <v>1</v>
      </c>
      <c r="AK32" s="3">
        <v>2</v>
      </c>
      <c r="AL32" s="3">
        <v>2</v>
      </c>
      <c r="AM32" s="3">
        <v>1</v>
      </c>
      <c r="AN32" s="3">
        <v>2</v>
      </c>
      <c r="AO32" s="3">
        <v>2</v>
      </c>
      <c r="AP32" s="3">
        <v>2</v>
      </c>
      <c r="AQ32" s="3">
        <v>2</v>
      </c>
      <c r="AR32" s="3">
        <v>2</v>
      </c>
      <c r="AS32" s="3">
        <v>2</v>
      </c>
      <c r="AT32" s="3">
        <v>2</v>
      </c>
      <c r="AU32" s="3">
        <v>3</v>
      </c>
      <c r="AV32" s="3">
        <v>3</v>
      </c>
      <c r="AW32" s="3">
        <v>2</v>
      </c>
      <c r="AX32" s="3">
        <v>1</v>
      </c>
      <c r="AY32" s="3">
        <v>1</v>
      </c>
      <c r="AZ32" s="3">
        <v>1</v>
      </c>
      <c r="BA32" s="3">
        <v>2</v>
      </c>
      <c r="BB32" s="3">
        <v>1</v>
      </c>
      <c r="BC32" s="3">
        <v>2</v>
      </c>
      <c r="BD32" s="3">
        <v>1</v>
      </c>
      <c r="BE32" s="3">
        <v>1</v>
      </c>
      <c r="BF32" s="3">
        <v>2</v>
      </c>
      <c r="BG32" s="3">
        <v>2</v>
      </c>
      <c r="BH32" s="3">
        <v>2</v>
      </c>
      <c r="BI32" s="3">
        <v>2</v>
      </c>
      <c r="BJ32" s="3">
        <v>2</v>
      </c>
      <c r="BK32" s="3">
        <v>2</v>
      </c>
      <c r="BL32" s="3">
        <v>2</v>
      </c>
      <c r="BM32" s="3">
        <v>2</v>
      </c>
      <c r="BN32" s="3">
        <v>2</v>
      </c>
      <c r="BO32" s="3">
        <v>2</v>
      </c>
      <c r="BP32" s="3">
        <v>2</v>
      </c>
      <c r="BQ32" s="3">
        <v>2</v>
      </c>
      <c r="BR32" s="3">
        <v>2</v>
      </c>
      <c r="BS32" s="3">
        <v>2</v>
      </c>
      <c r="BT32" s="3">
        <v>2</v>
      </c>
      <c r="BU32" s="3">
        <v>2</v>
      </c>
      <c r="BV32" s="3">
        <v>2</v>
      </c>
      <c r="BW32" s="3">
        <v>2</v>
      </c>
      <c r="BX32" s="3">
        <v>2</v>
      </c>
      <c r="BY32" s="3">
        <v>2</v>
      </c>
      <c r="BZ32" s="3">
        <v>2</v>
      </c>
      <c r="CA32" s="3">
        <v>2</v>
      </c>
      <c r="CB32" s="3">
        <v>2</v>
      </c>
      <c r="CC32" s="3">
        <v>1</v>
      </c>
      <c r="CD32" s="3">
        <v>1</v>
      </c>
      <c r="CE32" s="3">
        <v>2</v>
      </c>
      <c r="CF32" s="3">
        <v>1</v>
      </c>
      <c r="CG32" s="3">
        <v>2</v>
      </c>
      <c r="CH32" s="3">
        <v>1</v>
      </c>
      <c r="CI32" s="3">
        <v>2</v>
      </c>
      <c r="CJ32" s="3">
        <v>2</v>
      </c>
      <c r="CK32" s="3">
        <v>2</v>
      </c>
      <c r="CL32" s="3">
        <v>2</v>
      </c>
      <c r="CM32" s="3">
        <v>3</v>
      </c>
      <c r="CN32" s="3">
        <v>3</v>
      </c>
      <c r="CO32" s="3">
        <v>2</v>
      </c>
      <c r="CP32" s="3">
        <v>1</v>
      </c>
      <c r="CQ32" s="3">
        <v>1</v>
      </c>
      <c r="CR32" s="3">
        <v>1</v>
      </c>
      <c r="CS32" s="3">
        <v>2</v>
      </c>
      <c r="CT32" s="3">
        <v>2</v>
      </c>
    </row>
    <row r="33" spans="1:98" ht="12.75" x14ac:dyDescent="0.2">
      <c r="A33" s="19" t="s">
        <v>188</v>
      </c>
      <c r="B33" s="20">
        <v>83</v>
      </c>
      <c r="C33" s="20">
        <v>75</v>
      </c>
      <c r="D33" s="20">
        <v>79</v>
      </c>
      <c r="E33" s="20">
        <v>78.8</v>
      </c>
      <c r="F33" s="17" t="str">
        <f t="shared" si="2"/>
        <v>PASSED</v>
      </c>
      <c r="G33" s="17">
        <v>1.7629999999999999</v>
      </c>
      <c r="H33" s="21">
        <v>45383</v>
      </c>
      <c r="I33" s="3" t="s">
        <v>103</v>
      </c>
      <c r="J33" s="3" t="s">
        <v>102</v>
      </c>
      <c r="K33" s="5"/>
      <c r="L33" s="3" t="s">
        <v>90</v>
      </c>
      <c r="M33" s="3" t="s">
        <v>125</v>
      </c>
      <c r="N33" s="3" t="s">
        <v>91</v>
      </c>
      <c r="O33" s="5"/>
      <c r="P33" s="3" t="s">
        <v>93</v>
      </c>
      <c r="Q33" s="8" t="s">
        <v>91</v>
      </c>
      <c r="R33" s="38"/>
      <c r="S33" s="3" t="s">
        <v>91</v>
      </c>
      <c r="T33" s="3" t="s">
        <v>101</v>
      </c>
      <c r="U33" s="5"/>
      <c r="V33" s="3" t="s">
        <v>91</v>
      </c>
      <c r="W33" s="5"/>
      <c r="X33" s="3" t="s">
        <v>91</v>
      </c>
      <c r="Y33" s="5"/>
      <c r="Z33" s="3">
        <v>1</v>
      </c>
      <c r="AA33" s="3">
        <v>1</v>
      </c>
      <c r="AB33" s="3">
        <v>1</v>
      </c>
      <c r="AC33" s="3">
        <v>1</v>
      </c>
      <c r="AD33" s="3">
        <v>1</v>
      </c>
      <c r="AE33" s="3">
        <v>1</v>
      </c>
      <c r="AF33" s="3">
        <v>1</v>
      </c>
      <c r="AG33" s="3">
        <v>1</v>
      </c>
      <c r="AH33" s="3">
        <v>1</v>
      </c>
      <c r="AI33" s="3">
        <v>1</v>
      </c>
      <c r="AJ33" s="3">
        <v>1</v>
      </c>
      <c r="AK33" s="3">
        <v>1</v>
      </c>
      <c r="AL33" s="3">
        <v>1</v>
      </c>
      <c r="AM33" s="3">
        <v>1</v>
      </c>
      <c r="AN33" s="3">
        <v>1</v>
      </c>
      <c r="AO33" s="3">
        <v>1</v>
      </c>
      <c r="AP33" s="3">
        <v>1</v>
      </c>
      <c r="AQ33" s="3">
        <v>1</v>
      </c>
      <c r="AR33" s="3">
        <v>1</v>
      </c>
      <c r="AS33" s="3">
        <v>1</v>
      </c>
      <c r="AT33" s="3">
        <v>1</v>
      </c>
      <c r="AU33" s="3">
        <v>1</v>
      </c>
      <c r="AV33" s="3">
        <v>1</v>
      </c>
      <c r="AW33" s="3">
        <v>1</v>
      </c>
      <c r="AX33" s="3">
        <v>1</v>
      </c>
      <c r="AY33" s="3">
        <v>1</v>
      </c>
      <c r="AZ33" s="3">
        <v>1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>
        <v>1</v>
      </c>
      <c r="BI33" s="3">
        <v>1</v>
      </c>
      <c r="BJ33" s="3">
        <v>1</v>
      </c>
      <c r="BK33" s="3">
        <v>1</v>
      </c>
      <c r="BL33" s="3">
        <v>1</v>
      </c>
      <c r="BM33" s="3">
        <v>1</v>
      </c>
      <c r="BN33" s="3">
        <v>1</v>
      </c>
      <c r="BO33" s="3">
        <v>1</v>
      </c>
      <c r="BP33" s="3">
        <v>1</v>
      </c>
      <c r="BQ33" s="3">
        <v>1</v>
      </c>
      <c r="BR33" s="3">
        <v>1</v>
      </c>
      <c r="BS33" s="3">
        <v>1</v>
      </c>
      <c r="BT33" s="3">
        <v>1</v>
      </c>
      <c r="BU33" s="3">
        <v>1</v>
      </c>
      <c r="BV33" s="3">
        <v>1</v>
      </c>
      <c r="BW33" s="3">
        <v>1</v>
      </c>
      <c r="BX33" s="3">
        <v>1</v>
      </c>
      <c r="BY33" s="3">
        <v>1</v>
      </c>
      <c r="BZ33" s="3">
        <v>1</v>
      </c>
      <c r="CA33" s="3">
        <v>1</v>
      </c>
      <c r="CB33" s="3">
        <v>1</v>
      </c>
      <c r="CC33" s="3">
        <v>1</v>
      </c>
      <c r="CD33" s="3">
        <v>1</v>
      </c>
      <c r="CE33" s="3">
        <v>1</v>
      </c>
      <c r="CF33" s="3">
        <v>1</v>
      </c>
      <c r="CG33" s="3">
        <v>1</v>
      </c>
      <c r="CH33" s="3">
        <v>1</v>
      </c>
      <c r="CI33" s="3">
        <v>1</v>
      </c>
      <c r="CJ33" s="3">
        <v>1</v>
      </c>
      <c r="CK33" s="3">
        <v>1</v>
      </c>
      <c r="CL33" s="3">
        <v>1</v>
      </c>
      <c r="CM33" s="3">
        <v>1</v>
      </c>
      <c r="CN33" s="3">
        <v>1</v>
      </c>
      <c r="CO33" s="3">
        <v>1</v>
      </c>
      <c r="CP33" s="3">
        <v>1</v>
      </c>
      <c r="CQ33" s="3">
        <v>1</v>
      </c>
      <c r="CR33" s="3">
        <v>1</v>
      </c>
      <c r="CS33" s="3">
        <v>1</v>
      </c>
      <c r="CT33" s="3">
        <v>1</v>
      </c>
    </row>
    <row r="34" spans="1:98" ht="12.75" x14ac:dyDescent="0.2">
      <c r="A34" s="19" t="s">
        <v>189</v>
      </c>
      <c r="B34" s="20">
        <v>77</v>
      </c>
      <c r="C34" s="20">
        <v>78</v>
      </c>
      <c r="D34" s="20">
        <v>81</v>
      </c>
      <c r="E34" s="20">
        <v>79.099999999999994</v>
      </c>
      <c r="F34" s="17" t="str">
        <f t="shared" si="2"/>
        <v>PASSED</v>
      </c>
      <c r="G34" s="17">
        <v>2.125</v>
      </c>
      <c r="H34" s="21">
        <v>45383</v>
      </c>
      <c r="I34" s="1" t="s">
        <v>110</v>
      </c>
      <c r="J34" s="8" t="s">
        <v>89</v>
      </c>
      <c r="K34" s="3" t="s">
        <v>111</v>
      </c>
      <c r="L34" s="8" t="s">
        <v>90</v>
      </c>
      <c r="M34" s="8" t="s">
        <v>97</v>
      </c>
      <c r="N34" s="8" t="s">
        <v>91</v>
      </c>
      <c r="O34" s="8" t="s">
        <v>98</v>
      </c>
      <c r="P34" s="8" t="s">
        <v>99</v>
      </c>
      <c r="Q34" s="3" t="s">
        <v>91</v>
      </c>
      <c r="R34" s="5"/>
      <c r="S34" s="8" t="s">
        <v>91</v>
      </c>
      <c r="T34" s="8" t="s">
        <v>101</v>
      </c>
      <c r="U34" s="38"/>
      <c r="V34" s="8" t="s">
        <v>91</v>
      </c>
      <c r="W34" s="8" t="s">
        <v>102</v>
      </c>
      <c r="X34" s="8" t="s">
        <v>91</v>
      </c>
      <c r="Y34" s="38"/>
      <c r="Z34" s="8">
        <v>1</v>
      </c>
      <c r="AA34" s="8">
        <v>1</v>
      </c>
      <c r="AB34" s="8">
        <v>1</v>
      </c>
      <c r="AC34" s="8">
        <v>1</v>
      </c>
      <c r="AD34" s="8">
        <v>1</v>
      </c>
      <c r="AE34" s="8">
        <v>1</v>
      </c>
      <c r="AF34" s="8">
        <v>1</v>
      </c>
      <c r="AG34" s="8">
        <v>1</v>
      </c>
      <c r="AH34" s="8">
        <v>1</v>
      </c>
      <c r="AI34" s="8">
        <v>1</v>
      </c>
      <c r="AJ34" s="8">
        <v>2</v>
      </c>
      <c r="AK34" s="8">
        <v>2</v>
      </c>
      <c r="AL34" s="8">
        <v>2</v>
      </c>
      <c r="AM34" s="8">
        <v>1</v>
      </c>
      <c r="AN34" s="8">
        <v>1</v>
      </c>
      <c r="AO34" s="8">
        <v>2</v>
      </c>
      <c r="AP34" s="8">
        <v>1</v>
      </c>
      <c r="AQ34" s="8">
        <v>2</v>
      </c>
      <c r="AR34" s="8">
        <v>2</v>
      </c>
      <c r="AS34" s="8">
        <v>2</v>
      </c>
      <c r="AT34" s="8">
        <v>2</v>
      </c>
      <c r="AU34" s="8">
        <v>1</v>
      </c>
      <c r="AV34" s="8">
        <v>2</v>
      </c>
      <c r="AW34" s="8">
        <v>2</v>
      </c>
      <c r="AX34" s="8">
        <v>2</v>
      </c>
      <c r="AY34" s="8">
        <v>1</v>
      </c>
      <c r="AZ34" s="8">
        <v>2</v>
      </c>
      <c r="BA34" s="8">
        <v>2</v>
      </c>
      <c r="BB34" s="8">
        <v>1</v>
      </c>
      <c r="BC34" s="8">
        <v>2</v>
      </c>
      <c r="BD34" s="8">
        <v>2</v>
      </c>
      <c r="BE34" s="8">
        <v>2</v>
      </c>
      <c r="BF34" s="8">
        <v>2</v>
      </c>
      <c r="BG34" s="8">
        <v>2</v>
      </c>
      <c r="BH34" s="8">
        <v>1</v>
      </c>
      <c r="BI34" s="8">
        <v>2</v>
      </c>
      <c r="BJ34" s="8">
        <v>2</v>
      </c>
      <c r="BK34" s="8">
        <v>2</v>
      </c>
      <c r="BL34" s="8">
        <v>2</v>
      </c>
      <c r="BM34" s="8">
        <v>2</v>
      </c>
      <c r="BN34" s="8">
        <v>1</v>
      </c>
      <c r="BO34" s="8">
        <v>1</v>
      </c>
      <c r="BP34" s="8">
        <v>2</v>
      </c>
      <c r="BQ34" s="8">
        <v>2</v>
      </c>
      <c r="BR34" s="8">
        <v>2</v>
      </c>
      <c r="BS34" s="8">
        <v>1</v>
      </c>
      <c r="BT34" s="8">
        <v>2</v>
      </c>
      <c r="BU34" s="8">
        <v>2</v>
      </c>
      <c r="BV34" s="8">
        <v>1</v>
      </c>
      <c r="BW34" s="8">
        <v>1</v>
      </c>
      <c r="BX34" s="8">
        <v>2</v>
      </c>
      <c r="BY34" s="8">
        <v>2</v>
      </c>
      <c r="BZ34" s="8">
        <v>2</v>
      </c>
      <c r="CA34" s="8">
        <v>2</v>
      </c>
      <c r="CB34" s="8">
        <v>1</v>
      </c>
      <c r="CC34" s="8">
        <v>2</v>
      </c>
      <c r="CD34" s="8">
        <v>1</v>
      </c>
      <c r="CE34" s="8">
        <v>1</v>
      </c>
      <c r="CF34" s="8">
        <v>2</v>
      </c>
      <c r="CG34" s="8">
        <v>2</v>
      </c>
      <c r="CH34" s="8">
        <v>2</v>
      </c>
      <c r="CI34" s="8">
        <v>2</v>
      </c>
      <c r="CJ34" s="8">
        <v>2</v>
      </c>
      <c r="CK34" s="8">
        <v>2</v>
      </c>
      <c r="CL34" s="8">
        <v>2</v>
      </c>
      <c r="CM34" s="8">
        <v>2</v>
      </c>
      <c r="CN34" s="8">
        <v>2</v>
      </c>
      <c r="CO34" s="8">
        <v>2</v>
      </c>
      <c r="CP34" s="8">
        <v>2</v>
      </c>
      <c r="CQ34" s="8">
        <v>2</v>
      </c>
      <c r="CR34" s="8">
        <v>2</v>
      </c>
      <c r="CS34" s="8">
        <v>2</v>
      </c>
      <c r="CT34" s="8">
        <v>2</v>
      </c>
    </row>
    <row r="35" spans="1:98" ht="12.75" x14ac:dyDescent="0.2">
      <c r="A35" s="19" t="s">
        <v>190</v>
      </c>
      <c r="B35" s="20">
        <v>77</v>
      </c>
      <c r="C35" s="20">
        <v>71</v>
      </c>
      <c r="D35" s="20">
        <v>73</v>
      </c>
      <c r="E35" s="20">
        <v>73.400000000000006</v>
      </c>
      <c r="F35" s="17" t="str">
        <f t="shared" si="2"/>
        <v>PASSED</v>
      </c>
      <c r="G35" s="17">
        <v>1.89</v>
      </c>
      <c r="H35" s="21">
        <v>45383</v>
      </c>
      <c r="I35" s="3" t="s">
        <v>103</v>
      </c>
      <c r="J35" s="3" t="s">
        <v>102</v>
      </c>
      <c r="K35" s="5"/>
      <c r="L35" s="3" t="s">
        <v>91</v>
      </c>
      <c r="M35" s="5"/>
      <c r="N35" s="3" t="s">
        <v>91</v>
      </c>
      <c r="O35" s="5"/>
      <c r="P35" s="3" t="s">
        <v>99</v>
      </c>
      <c r="Q35" s="8" t="s">
        <v>91</v>
      </c>
      <c r="R35" s="38"/>
      <c r="S35" s="3" t="s">
        <v>91</v>
      </c>
      <c r="T35" s="3" t="s">
        <v>160</v>
      </c>
      <c r="U35" s="5"/>
      <c r="V35" s="3" t="s">
        <v>91</v>
      </c>
      <c r="W35" s="5"/>
      <c r="X35" s="3" t="s">
        <v>91</v>
      </c>
      <c r="Y35" s="5"/>
      <c r="Z35" s="3">
        <v>2</v>
      </c>
      <c r="AA35" s="3">
        <v>2</v>
      </c>
      <c r="AB35" s="3">
        <v>2</v>
      </c>
      <c r="AC35" s="3">
        <v>2</v>
      </c>
      <c r="AD35" s="3">
        <v>2</v>
      </c>
      <c r="AE35" s="3">
        <v>2</v>
      </c>
      <c r="AF35" s="3">
        <v>2</v>
      </c>
      <c r="AG35" s="3">
        <v>2</v>
      </c>
      <c r="AH35" s="3">
        <v>2</v>
      </c>
      <c r="AI35" s="3">
        <v>3</v>
      </c>
      <c r="AJ35" s="3">
        <v>2</v>
      </c>
      <c r="AK35" s="3">
        <v>3</v>
      </c>
      <c r="AL35" s="3">
        <v>2</v>
      </c>
      <c r="AM35" s="3">
        <v>2</v>
      </c>
      <c r="AN35" s="3">
        <v>3</v>
      </c>
      <c r="AO35" s="3">
        <v>2</v>
      </c>
      <c r="AP35" s="3">
        <v>3</v>
      </c>
      <c r="AQ35" s="3">
        <v>3</v>
      </c>
      <c r="AR35" s="3">
        <v>1</v>
      </c>
      <c r="AS35" s="3">
        <v>2</v>
      </c>
      <c r="AT35" s="3">
        <v>2</v>
      </c>
      <c r="AU35" s="3">
        <v>2</v>
      </c>
      <c r="AV35" s="3">
        <v>2</v>
      </c>
      <c r="AW35" s="3">
        <v>2</v>
      </c>
      <c r="AX35" s="3">
        <v>1</v>
      </c>
      <c r="AY35" s="3">
        <v>2</v>
      </c>
      <c r="AZ35" s="3">
        <v>2</v>
      </c>
      <c r="BA35" s="3">
        <v>2</v>
      </c>
      <c r="BB35" s="3">
        <v>3</v>
      </c>
      <c r="BC35" s="3">
        <v>2</v>
      </c>
      <c r="BD35" s="3">
        <v>2</v>
      </c>
      <c r="BE35" s="3">
        <v>2</v>
      </c>
      <c r="BF35" s="3">
        <v>3</v>
      </c>
      <c r="BG35" s="3">
        <v>2</v>
      </c>
      <c r="BH35" s="3">
        <v>1</v>
      </c>
      <c r="BI35" s="3">
        <v>2</v>
      </c>
      <c r="BJ35" s="3">
        <v>3</v>
      </c>
      <c r="BK35" s="3">
        <v>2</v>
      </c>
      <c r="BL35" s="3">
        <v>2</v>
      </c>
      <c r="BM35" s="3">
        <v>2</v>
      </c>
      <c r="BN35" s="3">
        <v>1</v>
      </c>
      <c r="BO35" s="3">
        <v>2</v>
      </c>
      <c r="BP35" s="3">
        <v>2</v>
      </c>
      <c r="BQ35" s="3">
        <v>2</v>
      </c>
      <c r="BR35" s="3">
        <v>2</v>
      </c>
      <c r="BS35" s="3">
        <v>2</v>
      </c>
      <c r="BT35" s="3">
        <v>1</v>
      </c>
      <c r="BU35" s="3">
        <v>2</v>
      </c>
      <c r="BV35" s="3">
        <v>2</v>
      </c>
      <c r="BW35" s="3">
        <v>2</v>
      </c>
      <c r="BX35" s="3">
        <v>2</v>
      </c>
      <c r="BY35" s="3">
        <v>2</v>
      </c>
      <c r="BZ35" s="3">
        <v>2</v>
      </c>
      <c r="CA35" s="3">
        <v>2</v>
      </c>
      <c r="CB35" s="3">
        <v>3</v>
      </c>
      <c r="CC35" s="3">
        <v>2</v>
      </c>
      <c r="CD35" s="3">
        <v>2</v>
      </c>
      <c r="CE35" s="3">
        <v>2</v>
      </c>
      <c r="CF35" s="3">
        <v>2</v>
      </c>
      <c r="CG35" s="3">
        <v>2</v>
      </c>
      <c r="CH35" s="3">
        <v>3</v>
      </c>
      <c r="CI35" s="3">
        <v>2</v>
      </c>
      <c r="CJ35" s="3">
        <v>2</v>
      </c>
      <c r="CK35" s="3">
        <v>2</v>
      </c>
      <c r="CL35" s="3">
        <v>2</v>
      </c>
      <c r="CM35" s="3">
        <v>2</v>
      </c>
      <c r="CN35" s="3">
        <v>2</v>
      </c>
      <c r="CO35" s="3">
        <v>2</v>
      </c>
      <c r="CP35" s="3">
        <v>2</v>
      </c>
      <c r="CQ35" s="3">
        <v>2</v>
      </c>
      <c r="CR35" s="3">
        <v>2</v>
      </c>
      <c r="CS35" s="3">
        <v>2</v>
      </c>
      <c r="CT35" s="3">
        <v>2</v>
      </c>
    </row>
    <row r="36" spans="1:98" ht="12.75" x14ac:dyDescent="0.2">
      <c r="A36" s="19" t="s">
        <v>191</v>
      </c>
      <c r="B36" s="20">
        <v>77</v>
      </c>
      <c r="C36" s="20">
        <v>72</v>
      </c>
      <c r="D36" s="20">
        <v>74</v>
      </c>
      <c r="E36" s="20">
        <v>74.150000000000006</v>
      </c>
      <c r="F36" s="17" t="str">
        <f t="shared" si="2"/>
        <v>PASSED</v>
      </c>
      <c r="G36" s="17">
        <v>1.72</v>
      </c>
      <c r="H36" s="21">
        <v>45383</v>
      </c>
      <c r="I36" s="8" t="s">
        <v>103</v>
      </c>
      <c r="J36" s="8" t="s">
        <v>102</v>
      </c>
      <c r="K36" s="38"/>
      <c r="L36" s="8" t="s">
        <v>91</v>
      </c>
      <c r="M36" s="38"/>
      <c r="N36" s="8" t="s">
        <v>90</v>
      </c>
      <c r="O36" s="8" t="s">
        <v>123</v>
      </c>
      <c r="P36" s="8" t="s">
        <v>99</v>
      </c>
      <c r="Q36" s="3" t="s">
        <v>91</v>
      </c>
      <c r="R36" s="5"/>
      <c r="S36" s="8" t="s">
        <v>91</v>
      </c>
      <c r="T36" s="8" t="s">
        <v>101</v>
      </c>
      <c r="U36" s="38"/>
      <c r="V36" s="8" t="s">
        <v>91</v>
      </c>
      <c r="W36" s="38"/>
      <c r="X36" s="8" t="s">
        <v>90</v>
      </c>
      <c r="Y36" s="8" t="s">
        <v>124</v>
      </c>
      <c r="Z36" s="8">
        <v>2</v>
      </c>
      <c r="AA36" s="8">
        <v>2</v>
      </c>
      <c r="AB36" s="8">
        <v>2</v>
      </c>
      <c r="AC36" s="8">
        <v>2</v>
      </c>
      <c r="AD36" s="8">
        <v>2</v>
      </c>
      <c r="AE36" s="8">
        <v>2</v>
      </c>
      <c r="AF36" s="8">
        <v>2</v>
      </c>
      <c r="AG36" s="8">
        <v>2</v>
      </c>
      <c r="AH36" s="8">
        <v>2</v>
      </c>
      <c r="AI36" s="8">
        <v>2</v>
      </c>
      <c r="AJ36" s="8">
        <v>1</v>
      </c>
      <c r="AK36" s="8">
        <v>2</v>
      </c>
      <c r="AL36" s="8">
        <v>3</v>
      </c>
      <c r="AM36" s="8">
        <v>2</v>
      </c>
      <c r="AN36" s="8">
        <v>2</v>
      </c>
      <c r="AO36" s="8">
        <v>2</v>
      </c>
      <c r="AP36" s="8">
        <v>2</v>
      </c>
      <c r="AQ36" s="8">
        <v>2</v>
      </c>
      <c r="AR36" s="8">
        <v>2</v>
      </c>
      <c r="AS36" s="8">
        <v>2</v>
      </c>
      <c r="AT36" s="8">
        <v>2</v>
      </c>
      <c r="AU36" s="8">
        <v>2</v>
      </c>
      <c r="AV36" s="8">
        <v>2</v>
      </c>
      <c r="AW36" s="8">
        <v>2</v>
      </c>
      <c r="AX36" s="8">
        <v>1</v>
      </c>
      <c r="AY36" s="8">
        <v>1</v>
      </c>
      <c r="AZ36" s="8">
        <v>1</v>
      </c>
      <c r="BA36" s="8">
        <v>2</v>
      </c>
      <c r="BB36" s="8">
        <v>2</v>
      </c>
      <c r="BC36" s="8">
        <v>3</v>
      </c>
      <c r="BD36" s="8">
        <v>3</v>
      </c>
      <c r="BE36" s="8">
        <v>3</v>
      </c>
      <c r="BF36" s="8">
        <v>4</v>
      </c>
      <c r="BG36" s="8">
        <v>3</v>
      </c>
      <c r="BH36" s="8">
        <v>3</v>
      </c>
      <c r="BI36" s="8">
        <v>3</v>
      </c>
      <c r="BJ36" s="8">
        <v>3</v>
      </c>
      <c r="BK36" s="8">
        <v>3</v>
      </c>
      <c r="BL36" s="8">
        <v>2</v>
      </c>
      <c r="BM36" s="8">
        <v>2</v>
      </c>
      <c r="BN36" s="8">
        <v>1</v>
      </c>
      <c r="BO36" s="8">
        <v>1</v>
      </c>
      <c r="BP36" s="8">
        <v>1</v>
      </c>
      <c r="BQ36" s="8">
        <v>1</v>
      </c>
      <c r="BR36" s="8">
        <v>2</v>
      </c>
      <c r="BS36" s="8">
        <v>1</v>
      </c>
      <c r="BT36" s="8">
        <v>1</v>
      </c>
      <c r="BU36" s="8">
        <v>1</v>
      </c>
      <c r="BV36" s="8">
        <v>1</v>
      </c>
      <c r="BW36" s="8">
        <v>1</v>
      </c>
      <c r="BX36" s="8">
        <v>1</v>
      </c>
      <c r="BY36" s="8">
        <v>1</v>
      </c>
      <c r="BZ36" s="8">
        <v>1</v>
      </c>
      <c r="CA36" s="8">
        <v>1</v>
      </c>
      <c r="CB36" s="8">
        <v>1</v>
      </c>
      <c r="CC36" s="8">
        <v>2</v>
      </c>
      <c r="CD36" s="8">
        <v>2</v>
      </c>
      <c r="CE36" s="8">
        <v>1</v>
      </c>
      <c r="CF36" s="8">
        <v>1</v>
      </c>
      <c r="CG36" s="8">
        <v>1</v>
      </c>
      <c r="CH36" s="8">
        <v>1</v>
      </c>
      <c r="CI36" s="8">
        <v>2</v>
      </c>
      <c r="CJ36" s="8">
        <v>2</v>
      </c>
      <c r="CK36" s="8">
        <v>2</v>
      </c>
      <c r="CL36" s="8">
        <v>2</v>
      </c>
      <c r="CM36" s="8">
        <v>2</v>
      </c>
      <c r="CN36" s="8">
        <v>2</v>
      </c>
      <c r="CO36" s="8">
        <v>2</v>
      </c>
      <c r="CP36" s="8">
        <v>2</v>
      </c>
      <c r="CQ36" s="8">
        <v>2</v>
      </c>
      <c r="CR36" s="8">
        <v>2</v>
      </c>
      <c r="CS36" s="8">
        <v>2</v>
      </c>
      <c r="CT36" s="8">
        <v>2</v>
      </c>
    </row>
    <row r="37" spans="1:98" ht="12.75" x14ac:dyDescent="0.2">
      <c r="A37" s="19" t="s">
        <v>192</v>
      </c>
      <c r="B37" s="20">
        <v>94</v>
      </c>
      <c r="C37" s="20">
        <v>81</v>
      </c>
      <c r="D37" s="20">
        <v>87</v>
      </c>
      <c r="E37" s="20">
        <v>86.95</v>
      </c>
      <c r="F37" s="17" t="str">
        <f t="shared" si="2"/>
        <v>PASSED</v>
      </c>
      <c r="G37" s="17">
        <v>1.59</v>
      </c>
      <c r="H37" s="21">
        <v>45383</v>
      </c>
      <c r="I37" s="8" t="s">
        <v>103</v>
      </c>
      <c r="J37" s="8" t="s">
        <v>102</v>
      </c>
      <c r="K37" s="38"/>
      <c r="L37" s="8" t="s">
        <v>91</v>
      </c>
      <c r="M37" s="38"/>
      <c r="N37" s="8" t="s">
        <v>91</v>
      </c>
      <c r="O37" s="38"/>
      <c r="P37" s="8" t="s">
        <v>106</v>
      </c>
      <c r="Q37" s="8" t="s">
        <v>91</v>
      </c>
      <c r="R37" s="38"/>
      <c r="S37" s="8" t="s">
        <v>91</v>
      </c>
      <c r="T37" s="8" t="s">
        <v>101</v>
      </c>
      <c r="U37" s="38"/>
      <c r="V37" s="8" t="s">
        <v>90</v>
      </c>
      <c r="W37" s="8" t="s">
        <v>114</v>
      </c>
      <c r="X37" s="8" t="s">
        <v>91</v>
      </c>
      <c r="Y37" s="38"/>
      <c r="Z37" s="8">
        <v>2</v>
      </c>
      <c r="AA37" s="8">
        <v>2</v>
      </c>
      <c r="AB37" s="8">
        <v>2</v>
      </c>
      <c r="AC37" s="8">
        <v>2</v>
      </c>
      <c r="AD37" s="8">
        <v>3</v>
      </c>
      <c r="AE37" s="8">
        <v>2</v>
      </c>
      <c r="AF37" s="8">
        <v>2</v>
      </c>
      <c r="AG37" s="8">
        <v>2</v>
      </c>
      <c r="AH37" s="8">
        <v>2</v>
      </c>
      <c r="AI37" s="8">
        <v>2</v>
      </c>
      <c r="AJ37" s="8">
        <v>2</v>
      </c>
      <c r="AK37" s="8">
        <v>2</v>
      </c>
      <c r="AL37" s="8">
        <v>2</v>
      </c>
      <c r="AM37" s="8">
        <v>2</v>
      </c>
      <c r="AN37" s="8">
        <v>2</v>
      </c>
      <c r="AO37" s="8">
        <v>2</v>
      </c>
      <c r="AP37" s="8">
        <v>2</v>
      </c>
      <c r="AQ37" s="8">
        <v>2</v>
      </c>
      <c r="AR37" s="8">
        <v>2</v>
      </c>
      <c r="AS37" s="8">
        <v>2</v>
      </c>
      <c r="AT37" s="8">
        <v>2</v>
      </c>
      <c r="AU37" s="8">
        <v>2</v>
      </c>
      <c r="AV37" s="8">
        <v>2</v>
      </c>
      <c r="AW37" s="8">
        <v>2</v>
      </c>
      <c r="AX37" s="8">
        <v>1</v>
      </c>
      <c r="AY37" s="8">
        <v>1</v>
      </c>
      <c r="AZ37" s="8">
        <v>2</v>
      </c>
      <c r="BA37" s="8">
        <v>3</v>
      </c>
      <c r="BB37" s="8">
        <v>2</v>
      </c>
      <c r="BC37" s="8">
        <v>2</v>
      </c>
      <c r="BD37" s="8">
        <v>1</v>
      </c>
      <c r="BE37" s="8">
        <v>2</v>
      </c>
      <c r="BF37" s="8">
        <v>2</v>
      </c>
      <c r="BG37" s="8">
        <v>2</v>
      </c>
      <c r="BH37" s="8">
        <v>2</v>
      </c>
      <c r="BI37" s="8">
        <v>2</v>
      </c>
      <c r="BJ37" s="8">
        <v>3</v>
      </c>
      <c r="BK37" s="8">
        <v>2</v>
      </c>
      <c r="BL37" s="8">
        <v>2</v>
      </c>
      <c r="BM37" s="8">
        <v>2</v>
      </c>
      <c r="BN37" s="8">
        <v>2</v>
      </c>
      <c r="BO37" s="8">
        <v>2</v>
      </c>
      <c r="BP37" s="8">
        <v>2</v>
      </c>
      <c r="BQ37" s="8">
        <v>1</v>
      </c>
      <c r="BR37" s="8">
        <v>2</v>
      </c>
      <c r="BS37" s="8">
        <v>2</v>
      </c>
      <c r="BT37" s="8">
        <v>2</v>
      </c>
      <c r="BU37" s="8">
        <v>2</v>
      </c>
      <c r="BV37" s="8">
        <v>2</v>
      </c>
      <c r="BW37" s="8">
        <v>2</v>
      </c>
      <c r="BX37" s="8">
        <v>2</v>
      </c>
      <c r="BY37" s="8">
        <v>1</v>
      </c>
      <c r="BZ37" s="8">
        <v>1</v>
      </c>
      <c r="CA37" s="8">
        <v>1</v>
      </c>
      <c r="CB37" s="8">
        <v>1</v>
      </c>
      <c r="CC37" s="8">
        <v>2</v>
      </c>
      <c r="CD37" s="8">
        <v>1</v>
      </c>
      <c r="CE37" s="8">
        <v>1</v>
      </c>
      <c r="CF37" s="8">
        <v>2</v>
      </c>
      <c r="CG37" s="8">
        <v>2</v>
      </c>
      <c r="CH37" s="8">
        <v>2</v>
      </c>
      <c r="CI37" s="8">
        <v>2</v>
      </c>
      <c r="CJ37" s="8">
        <v>2</v>
      </c>
      <c r="CK37" s="8">
        <v>2</v>
      </c>
      <c r="CL37" s="8">
        <v>2</v>
      </c>
      <c r="CM37" s="8">
        <v>2</v>
      </c>
      <c r="CN37" s="8">
        <v>2</v>
      </c>
      <c r="CO37" s="8">
        <v>2</v>
      </c>
      <c r="CP37" s="8">
        <v>2</v>
      </c>
      <c r="CQ37" s="8">
        <v>2</v>
      </c>
      <c r="CR37" s="8">
        <v>2</v>
      </c>
      <c r="CS37" s="8">
        <v>2</v>
      </c>
      <c r="CT37" s="8">
        <v>2</v>
      </c>
    </row>
    <row r="38" spans="1:98" ht="12.75" x14ac:dyDescent="0.2">
      <c r="A38" s="19" t="s">
        <v>193</v>
      </c>
      <c r="B38" s="20">
        <v>89</v>
      </c>
      <c r="C38" s="20">
        <v>83</v>
      </c>
      <c r="D38" s="20">
        <v>84</v>
      </c>
      <c r="E38" s="20">
        <v>84.95</v>
      </c>
      <c r="F38" s="17" t="str">
        <f t="shared" si="2"/>
        <v>PASSED</v>
      </c>
      <c r="G38" s="17">
        <v>1.68</v>
      </c>
      <c r="H38" s="21">
        <v>45383</v>
      </c>
      <c r="I38" s="8" t="s">
        <v>115</v>
      </c>
      <c r="J38" s="8" t="s">
        <v>89</v>
      </c>
      <c r="K38" s="8" t="s">
        <v>119</v>
      </c>
      <c r="L38" s="8" t="s">
        <v>91</v>
      </c>
      <c r="M38" s="38"/>
      <c r="N38" s="8" t="s">
        <v>90</v>
      </c>
      <c r="O38" s="8" t="s">
        <v>92</v>
      </c>
      <c r="P38" s="8" t="s">
        <v>106</v>
      </c>
      <c r="Q38" s="3" t="s">
        <v>91</v>
      </c>
      <c r="R38" s="5"/>
      <c r="S38" s="8" t="s">
        <v>91</v>
      </c>
      <c r="T38" s="8" t="s">
        <v>160</v>
      </c>
      <c r="U38" s="38"/>
      <c r="V38" s="8" t="s">
        <v>90</v>
      </c>
      <c r="W38" s="8" t="s">
        <v>122</v>
      </c>
      <c r="X38" s="8" t="s">
        <v>91</v>
      </c>
      <c r="Y38" s="38"/>
      <c r="Z38" s="8">
        <v>2</v>
      </c>
      <c r="AA38" s="8">
        <v>2</v>
      </c>
      <c r="AB38" s="8">
        <v>2</v>
      </c>
      <c r="AC38" s="8">
        <v>2</v>
      </c>
      <c r="AD38" s="8">
        <v>2</v>
      </c>
      <c r="AE38" s="8">
        <v>2</v>
      </c>
      <c r="AF38" s="8">
        <v>2</v>
      </c>
      <c r="AG38" s="8">
        <v>2</v>
      </c>
      <c r="AH38" s="8">
        <v>2</v>
      </c>
      <c r="AI38" s="8">
        <v>2</v>
      </c>
      <c r="AJ38" s="8">
        <v>2</v>
      </c>
      <c r="AK38" s="8">
        <v>2</v>
      </c>
      <c r="AL38" s="8">
        <v>2</v>
      </c>
      <c r="AM38" s="8">
        <v>2</v>
      </c>
      <c r="AN38" s="8">
        <v>2</v>
      </c>
      <c r="AO38" s="8">
        <v>2</v>
      </c>
      <c r="AP38" s="8">
        <v>2</v>
      </c>
      <c r="AQ38" s="8">
        <v>2</v>
      </c>
      <c r="AR38" s="8">
        <v>2</v>
      </c>
      <c r="AS38" s="8">
        <v>2</v>
      </c>
      <c r="AT38" s="8">
        <v>2</v>
      </c>
      <c r="AU38" s="8">
        <v>2</v>
      </c>
      <c r="AV38" s="8">
        <v>2</v>
      </c>
      <c r="AW38" s="8">
        <v>2</v>
      </c>
      <c r="AX38" s="8">
        <v>2</v>
      </c>
      <c r="AY38" s="8">
        <v>2</v>
      </c>
      <c r="AZ38" s="8">
        <v>3</v>
      </c>
      <c r="BA38" s="8">
        <v>4</v>
      </c>
      <c r="BB38" s="8">
        <v>3</v>
      </c>
      <c r="BC38" s="8">
        <v>4</v>
      </c>
      <c r="BD38" s="8">
        <v>4</v>
      </c>
      <c r="BE38" s="8">
        <v>3</v>
      </c>
      <c r="BF38" s="8">
        <v>2</v>
      </c>
      <c r="BG38" s="8">
        <v>2</v>
      </c>
      <c r="BH38" s="8">
        <v>2</v>
      </c>
      <c r="BI38" s="8">
        <v>2</v>
      </c>
      <c r="BJ38" s="8">
        <v>2</v>
      </c>
      <c r="BK38" s="8">
        <v>2</v>
      </c>
      <c r="BL38" s="8">
        <v>4</v>
      </c>
      <c r="BM38" s="8">
        <v>2</v>
      </c>
      <c r="BN38" s="8">
        <v>2</v>
      </c>
      <c r="BO38" s="8">
        <v>2</v>
      </c>
      <c r="BP38" s="8">
        <v>2</v>
      </c>
      <c r="BQ38" s="8">
        <v>2</v>
      </c>
      <c r="BR38" s="8">
        <v>2</v>
      </c>
      <c r="BS38" s="8">
        <v>2</v>
      </c>
      <c r="BT38" s="8">
        <v>2</v>
      </c>
      <c r="BU38" s="8">
        <v>2</v>
      </c>
      <c r="BV38" s="8">
        <v>1</v>
      </c>
      <c r="BW38" s="8">
        <v>2</v>
      </c>
      <c r="BX38" s="8">
        <v>2</v>
      </c>
      <c r="BY38" s="8">
        <v>1</v>
      </c>
      <c r="BZ38" s="8">
        <v>2</v>
      </c>
      <c r="CA38" s="8">
        <v>1</v>
      </c>
      <c r="CB38" s="8">
        <v>1</v>
      </c>
      <c r="CC38" s="8">
        <v>1</v>
      </c>
      <c r="CD38" s="8">
        <v>1</v>
      </c>
      <c r="CE38" s="8">
        <v>1</v>
      </c>
      <c r="CF38" s="8">
        <v>2</v>
      </c>
      <c r="CG38" s="8">
        <v>2</v>
      </c>
      <c r="CH38" s="8">
        <v>2</v>
      </c>
      <c r="CI38" s="8">
        <v>2</v>
      </c>
      <c r="CJ38" s="8">
        <v>2</v>
      </c>
      <c r="CK38" s="8">
        <v>2</v>
      </c>
      <c r="CL38" s="8">
        <v>2</v>
      </c>
      <c r="CM38" s="8">
        <v>2</v>
      </c>
      <c r="CN38" s="8">
        <v>2</v>
      </c>
      <c r="CO38" s="8">
        <v>2</v>
      </c>
      <c r="CP38" s="8">
        <v>2</v>
      </c>
      <c r="CQ38" s="8">
        <v>2</v>
      </c>
      <c r="CR38" s="8">
        <v>2</v>
      </c>
      <c r="CS38" s="8">
        <v>2</v>
      </c>
      <c r="CT38" s="8">
        <v>2</v>
      </c>
    </row>
    <row r="39" spans="1:98" ht="12.75" x14ac:dyDescent="0.2">
      <c r="A39" s="19" t="s">
        <v>194</v>
      </c>
      <c r="B39" s="20">
        <v>90</v>
      </c>
      <c r="C39" s="20">
        <v>78</v>
      </c>
      <c r="D39" s="20">
        <v>82</v>
      </c>
      <c r="E39" s="20">
        <v>82.8</v>
      </c>
      <c r="F39" s="17" t="str">
        <f t="shared" si="2"/>
        <v>PASSED</v>
      </c>
      <c r="G39" s="17">
        <v>1.6372</v>
      </c>
      <c r="H39" s="21">
        <v>45383</v>
      </c>
      <c r="I39" s="8" t="s">
        <v>103</v>
      </c>
      <c r="J39" s="8" t="s">
        <v>102</v>
      </c>
      <c r="K39" s="38"/>
      <c r="L39" s="8" t="s">
        <v>90</v>
      </c>
      <c r="M39" s="8" t="s">
        <v>97</v>
      </c>
      <c r="N39" s="8" t="s">
        <v>91</v>
      </c>
      <c r="O39" s="38"/>
      <c r="P39" s="8" t="s">
        <v>106</v>
      </c>
      <c r="Q39" s="8" t="s">
        <v>91</v>
      </c>
      <c r="R39" s="38"/>
      <c r="S39" s="8" t="s">
        <v>91</v>
      </c>
      <c r="T39" s="8" t="s">
        <v>101</v>
      </c>
      <c r="U39" s="38"/>
      <c r="V39" s="8" t="s">
        <v>91</v>
      </c>
      <c r="W39" s="38"/>
      <c r="X39" s="8" t="s">
        <v>91</v>
      </c>
      <c r="Y39" s="38"/>
      <c r="Z39" s="8">
        <v>1</v>
      </c>
      <c r="AA39" s="8">
        <v>1</v>
      </c>
      <c r="AB39" s="8">
        <v>1</v>
      </c>
      <c r="AC39" s="8">
        <v>2</v>
      </c>
      <c r="AD39" s="8">
        <v>2</v>
      </c>
      <c r="AE39" s="8">
        <v>1</v>
      </c>
      <c r="AF39" s="8">
        <v>1</v>
      </c>
      <c r="AG39" s="8">
        <v>1</v>
      </c>
      <c r="AH39" s="8">
        <v>1</v>
      </c>
      <c r="AI39" s="8">
        <v>2</v>
      </c>
      <c r="AJ39" s="8">
        <v>1</v>
      </c>
      <c r="AK39" s="8">
        <v>1</v>
      </c>
      <c r="AL39" s="8">
        <v>2</v>
      </c>
      <c r="AM39" s="8">
        <v>2</v>
      </c>
      <c r="AN39" s="8">
        <v>2</v>
      </c>
      <c r="AO39" s="8">
        <v>3</v>
      </c>
      <c r="AP39" s="8">
        <v>2</v>
      </c>
      <c r="AQ39" s="8">
        <v>3</v>
      </c>
      <c r="AR39" s="8">
        <v>2</v>
      </c>
      <c r="AS39" s="8">
        <v>2</v>
      </c>
      <c r="AT39" s="8">
        <v>2</v>
      </c>
      <c r="AU39" s="8">
        <v>2</v>
      </c>
      <c r="AV39" s="8">
        <v>2</v>
      </c>
      <c r="AW39" s="8">
        <v>2</v>
      </c>
      <c r="AX39" s="8">
        <v>1</v>
      </c>
      <c r="AY39" s="8">
        <v>1</v>
      </c>
      <c r="AZ39" s="8">
        <v>1</v>
      </c>
      <c r="BA39" s="8">
        <v>1</v>
      </c>
      <c r="BB39" s="8">
        <v>1</v>
      </c>
      <c r="BC39" s="8">
        <v>2</v>
      </c>
      <c r="BD39" s="8">
        <v>1</v>
      </c>
      <c r="BE39" s="8">
        <v>2</v>
      </c>
      <c r="BF39" s="8">
        <v>2</v>
      </c>
      <c r="BG39" s="8">
        <v>2</v>
      </c>
      <c r="BH39" s="8">
        <v>1</v>
      </c>
      <c r="BI39" s="8">
        <v>2</v>
      </c>
      <c r="BJ39" s="8">
        <v>3</v>
      </c>
      <c r="BK39" s="8">
        <v>3</v>
      </c>
      <c r="BL39" s="8">
        <v>1</v>
      </c>
      <c r="BM39" s="8">
        <v>1</v>
      </c>
      <c r="BN39" s="8">
        <v>1</v>
      </c>
      <c r="BO39" s="8">
        <v>1</v>
      </c>
      <c r="BP39" s="8">
        <v>2</v>
      </c>
      <c r="BQ39" s="8">
        <v>1</v>
      </c>
      <c r="BR39" s="8">
        <v>1</v>
      </c>
      <c r="BS39" s="8">
        <v>1</v>
      </c>
      <c r="BT39" s="8">
        <v>1</v>
      </c>
      <c r="BU39" s="8">
        <v>3</v>
      </c>
      <c r="BV39" s="8">
        <v>1</v>
      </c>
      <c r="BW39" s="8">
        <v>1</v>
      </c>
      <c r="BX39" s="8">
        <v>1</v>
      </c>
      <c r="BY39" s="8">
        <v>1</v>
      </c>
      <c r="BZ39" s="8">
        <v>1</v>
      </c>
      <c r="CA39" s="8">
        <v>1</v>
      </c>
      <c r="CB39" s="8">
        <v>1</v>
      </c>
      <c r="CC39" s="8">
        <v>1</v>
      </c>
      <c r="CD39" s="8">
        <v>1</v>
      </c>
      <c r="CE39" s="8">
        <v>1</v>
      </c>
      <c r="CF39" s="8">
        <v>2</v>
      </c>
      <c r="CG39" s="8">
        <v>3</v>
      </c>
      <c r="CH39" s="8">
        <v>4</v>
      </c>
      <c r="CI39" s="8">
        <v>3</v>
      </c>
      <c r="CJ39" s="8">
        <v>2</v>
      </c>
      <c r="CK39" s="8">
        <v>1</v>
      </c>
      <c r="CL39" s="8">
        <v>1</v>
      </c>
      <c r="CM39" s="8">
        <v>1</v>
      </c>
      <c r="CN39" s="8">
        <v>1</v>
      </c>
      <c r="CO39" s="8">
        <v>1</v>
      </c>
      <c r="CP39" s="8">
        <v>1</v>
      </c>
      <c r="CQ39" s="8">
        <v>1</v>
      </c>
      <c r="CR39" s="8">
        <v>1</v>
      </c>
      <c r="CS39" s="8">
        <v>1</v>
      </c>
      <c r="CT39" s="8">
        <v>1</v>
      </c>
    </row>
    <row r="40" spans="1:98" ht="12.75" x14ac:dyDescent="0.2">
      <c r="A40" s="19" t="s">
        <v>195</v>
      </c>
      <c r="B40" s="20">
        <v>80</v>
      </c>
      <c r="C40" s="20">
        <v>75</v>
      </c>
      <c r="D40" s="20">
        <v>84</v>
      </c>
      <c r="E40" s="20">
        <v>80.3</v>
      </c>
      <c r="F40" s="17" t="str">
        <f t="shared" si="2"/>
        <v>PASSED</v>
      </c>
      <c r="G40" s="17">
        <v>1.712</v>
      </c>
      <c r="H40" s="21">
        <v>45383</v>
      </c>
      <c r="I40" s="3" t="s">
        <v>103</v>
      </c>
      <c r="J40" s="3" t="s">
        <v>102</v>
      </c>
      <c r="K40" s="5"/>
      <c r="L40" s="3" t="s">
        <v>91</v>
      </c>
      <c r="M40" s="5"/>
      <c r="N40" s="3" t="s">
        <v>91</v>
      </c>
      <c r="O40" s="5"/>
      <c r="P40" s="3" t="s">
        <v>99</v>
      </c>
      <c r="Q40" s="3" t="s">
        <v>91</v>
      </c>
      <c r="R40" s="5"/>
      <c r="S40" s="3" t="s">
        <v>91</v>
      </c>
      <c r="T40" s="3" t="s">
        <v>160</v>
      </c>
      <c r="U40" s="5"/>
      <c r="V40" s="3" t="s">
        <v>90</v>
      </c>
      <c r="W40" s="3" t="s">
        <v>140</v>
      </c>
      <c r="X40" s="3" t="s">
        <v>91</v>
      </c>
      <c r="Y40" s="5"/>
      <c r="Z40" s="3">
        <v>2</v>
      </c>
      <c r="AA40" s="3">
        <v>2</v>
      </c>
      <c r="AB40" s="3">
        <v>2</v>
      </c>
      <c r="AC40" s="3">
        <v>2</v>
      </c>
      <c r="AD40" s="3">
        <v>2</v>
      </c>
      <c r="AE40" s="3">
        <v>2</v>
      </c>
      <c r="AF40" s="3">
        <v>1</v>
      </c>
      <c r="AG40" s="3">
        <v>2</v>
      </c>
      <c r="AH40" s="3">
        <v>1</v>
      </c>
      <c r="AI40" s="3">
        <v>1</v>
      </c>
      <c r="AJ40" s="3">
        <v>1</v>
      </c>
      <c r="AK40" s="3">
        <v>1</v>
      </c>
      <c r="AL40" s="3">
        <v>2</v>
      </c>
      <c r="AM40" s="3">
        <v>1</v>
      </c>
      <c r="AN40" s="3">
        <v>2</v>
      </c>
      <c r="AO40" s="3">
        <v>2</v>
      </c>
      <c r="AP40" s="3">
        <v>2</v>
      </c>
      <c r="AQ40" s="3">
        <v>2</v>
      </c>
      <c r="AR40" s="3">
        <v>2</v>
      </c>
      <c r="AS40" s="3">
        <v>2</v>
      </c>
      <c r="AT40" s="3">
        <v>2</v>
      </c>
      <c r="AU40" s="3">
        <v>2</v>
      </c>
      <c r="AV40" s="3">
        <v>2</v>
      </c>
      <c r="AW40" s="3">
        <v>2</v>
      </c>
      <c r="AX40" s="3">
        <v>1</v>
      </c>
      <c r="AY40" s="3">
        <v>1</v>
      </c>
      <c r="AZ40" s="3">
        <v>3</v>
      </c>
      <c r="BA40" s="3">
        <v>3</v>
      </c>
      <c r="BB40" s="3">
        <v>2</v>
      </c>
      <c r="BC40" s="3">
        <v>3</v>
      </c>
      <c r="BD40" s="3">
        <v>3</v>
      </c>
      <c r="BE40" s="3">
        <v>3</v>
      </c>
      <c r="BF40" s="3">
        <v>2</v>
      </c>
      <c r="BG40" s="3">
        <v>1</v>
      </c>
      <c r="BH40" s="3">
        <v>1</v>
      </c>
      <c r="BI40" s="3">
        <v>3</v>
      </c>
      <c r="BJ40" s="3">
        <v>2</v>
      </c>
      <c r="BK40" s="3">
        <v>3</v>
      </c>
      <c r="BL40" s="3">
        <v>2</v>
      </c>
      <c r="BM40" s="3">
        <v>2</v>
      </c>
      <c r="BN40" s="3">
        <v>2</v>
      </c>
      <c r="BO40" s="3">
        <v>2</v>
      </c>
      <c r="BP40" s="3">
        <v>2</v>
      </c>
      <c r="BQ40" s="3">
        <v>2</v>
      </c>
      <c r="BR40" s="3">
        <v>2</v>
      </c>
      <c r="BS40" s="3">
        <v>2</v>
      </c>
      <c r="BT40" s="3">
        <v>2</v>
      </c>
      <c r="BU40" s="3">
        <v>2</v>
      </c>
      <c r="BV40" s="3">
        <v>1</v>
      </c>
      <c r="BW40" s="3">
        <v>1</v>
      </c>
      <c r="BX40" s="3">
        <v>1</v>
      </c>
      <c r="BY40" s="3">
        <v>1</v>
      </c>
      <c r="BZ40" s="3">
        <v>1</v>
      </c>
      <c r="CA40" s="3">
        <v>1</v>
      </c>
      <c r="CB40" s="3">
        <v>1</v>
      </c>
      <c r="CC40" s="3">
        <v>1</v>
      </c>
      <c r="CD40" s="3">
        <v>1</v>
      </c>
      <c r="CE40" s="3">
        <v>1</v>
      </c>
      <c r="CF40" s="3">
        <v>1</v>
      </c>
      <c r="CG40" s="3">
        <v>1</v>
      </c>
      <c r="CH40" s="3">
        <v>1</v>
      </c>
      <c r="CI40" s="3">
        <v>1</v>
      </c>
      <c r="CJ40" s="3">
        <v>1</v>
      </c>
      <c r="CK40" s="3">
        <v>1</v>
      </c>
      <c r="CL40" s="3">
        <v>1</v>
      </c>
      <c r="CM40" s="3">
        <v>1</v>
      </c>
      <c r="CN40" s="3">
        <v>1</v>
      </c>
      <c r="CO40" s="3">
        <v>1</v>
      </c>
      <c r="CP40" s="3">
        <v>2</v>
      </c>
      <c r="CQ40" s="3">
        <v>2</v>
      </c>
      <c r="CR40" s="3">
        <v>1</v>
      </c>
      <c r="CS40" s="3">
        <v>1</v>
      </c>
      <c r="CT40" s="3">
        <v>1</v>
      </c>
    </row>
    <row r="41" spans="1:98" ht="12.75" x14ac:dyDescent="0.2">
      <c r="A41" s="19" t="s">
        <v>196</v>
      </c>
      <c r="B41" s="20">
        <v>83</v>
      </c>
      <c r="C41" s="20">
        <v>79</v>
      </c>
      <c r="D41" s="20">
        <v>72</v>
      </c>
      <c r="E41" s="20">
        <v>76.849999999999994</v>
      </c>
      <c r="F41" s="17" t="str">
        <f t="shared" si="2"/>
        <v>PASSED</v>
      </c>
      <c r="G41" s="17">
        <v>2.56</v>
      </c>
      <c r="H41" s="21">
        <v>45383</v>
      </c>
      <c r="I41" s="1" t="s">
        <v>110</v>
      </c>
      <c r="J41" s="8" t="s">
        <v>89</v>
      </c>
      <c r="K41" s="3" t="s">
        <v>119</v>
      </c>
      <c r="L41" s="8" t="s">
        <v>90</v>
      </c>
      <c r="M41" s="8" t="s">
        <v>97</v>
      </c>
      <c r="N41" s="8" t="s">
        <v>91</v>
      </c>
      <c r="O41" s="38"/>
      <c r="P41" s="8" t="s">
        <v>99</v>
      </c>
      <c r="Q41" s="8" t="s">
        <v>91</v>
      </c>
      <c r="R41" s="38"/>
      <c r="S41" s="8" t="s">
        <v>91</v>
      </c>
      <c r="T41" s="8" t="s">
        <v>160</v>
      </c>
      <c r="U41" s="38"/>
      <c r="V41" s="8" t="s">
        <v>90</v>
      </c>
      <c r="W41" s="8" t="s">
        <v>134</v>
      </c>
      <c r="X41" s="8" t="s">
        <v>91</v>
      </c>
      <c r="Y41" s="38"/>
      <c r="Z41" s="8">
        <v>2</v>
      </c>
      <c r="AA41" s="8">
        <v>2</v>
      </c>
      <c r="AB41" s="8">
        <v>2</v>
      </c>
      <c r="AC41" s="8">
        <v>2</v>
      </c>
      <c r="AD41" s="8">
        <v>2</v>
      </c>
      <c r="AE41" s="8">
        <v>2</v>
      </c>
      <c r="AF41" s="8">
        <v>2</v>
      </c>
      <c r="AG41" s="8">
        <v>1</v>
      </c>
      <c r="AH41" s="8">
        <v>1</v>
      </c>
      <c r="AI41" s="8">
        <v>1</v>
      </c>
      <c r="AJ41" s="8">
        <v>1</v>
      </c>
      <c r="AK41" s="8">
        <v>1</v>
      </c>
      <c r="AL41" s="8">
        <v>2</v>
      </c>
      <c r="AM41" s="8">
        <v>2</v>
      </c>
      <c r="AN41" s="8">
        <v>2</v>
      </c>
      <c r="AO41" s="8">
        <v>2</v>
      </c>
      <c r="AP41" s="8">
        <v>2</v>
      </c>
      <c r="AQ41" s="8">
        <v>2</v>
      </c>
      <c r="AR41" s="8">
        <v>2</v>
      </c>
      <c r="AS41" s="8">
        <v>2</v>
      </c>
      <c r="AT41" s="8">
        <v>2</v>
      </c>
      <c r="AU41" s="8">
        <v>2</v>
      </c>
      <c r="AV41" s="8">
        <v>2</v>
      </c>
      <c r="AW41" s="8">
        <v>1</v>
      </c>
      <c r="AX41" s="8">
        <v>1</v>
      </c>
      <c r="AY41" s="8">
        <v>1</v>
      </c>
      <c r="AZ41" s="8">
        <v>2</v>
      </c>
      <c r="BA41" s="8">
        <v>2</v>
      </c>
      <c r="BB41" s="8">
        <v>2</v>
      </c>
      <c r="BC41" s="8">
        <v>2</v>
      </c>
      <c r="BD41" s="8">
        <v>2</v>
      </c>
      <c r="BE41" s="8">
        <v>2</v>
      </c>
      <c r="BF41" s="8">
        <v>2</v>
      </c>
      <c r="BG41" s="8">
        <v>2</v>
      </c>
      <c r="BH41" s="8">
        <v>2</v>
      </c>
      <c r="BI41" s="8">
        <v>2</v>
      </c>
      <c r="BJ41" s="8">
        <v>1</v>
      </c>
      <c r="BK41" s="8">
        <v>2</v>
      </c>
      <c r="BL41" s="8">
        <v>2</v>
      </c>
      <c r="BM41" s="8">
        <v>1</v>
      </c>
      <c r="BN41" s="8">
        <v>2</v>
      </c>
      <c r="BO41" s="8">
        <v>2</v>
      </c>
      <c r="BP41" s="8">
        <v>1</v>
      </c>
      <c r="BQ41" s="8">
        <v>1</v>
      </c>
      <c r="BR41" s="8">
        <v>2</v>
      </c>
      <c r="BS41" s="8">
        <v>1</v>
      </c>
      <c r="BT41" s="8">
        <v>1</v>
      </c>
      <c r="BU41" s="8">
        <v>1</v>
      </c>
      <c r="BV41" s="8">
        <v>1</v>
      </c>
      <c r="BW41" s="8">
        <v>1</v>
      </c>
      <c r="BX41" s="8">
        <v>1</v>
      </c>
      <c r="BY41" s="8">
        <v>1</v>
      </c>
      <c r="BZ41" s="8">
        <v>1</v>
      </c>
      <c r="CA41" s="8">
        <v>1</v>
      </c>
      <c r="CB41" s="8">
        <v>1</v>
      </c>
      <c r="CC41" s="8">
        <v>1</v>
      </c>
      <c r="CD41" s="8">
        <v>1</v>
      </c>
      <c r="CE41" s="8">
        <v>1</v>
      </c>
      <c r="CF41" s="8">
        <v>1</v>
      </c>
      <c r="CG41" s="8">
        <v>2</v>
      </c>
      <c r="CH41" s="8">
        <v>2</v>
      </c>
      <c r="CI41" s="8">
        <v>2</v>
      </c>
      <c r="CJ41" s="8">
        <v>2</v>
      </c>
      <c r="CK41" s="8">
        <v>2</v>
      </c>
      <c r="CL41" s="8">
        <v>1</v>
      </c>
      <c r="CM41" s="8">
        <v>1</v>
      </c>
      <c r="CN41" s="8">
        <v>2</v>
      </c>
      <c r="CO41" s="8">
        <v>1</v>
      </c>
      <c r="CP41" s="8">
        <v>1</v>
      </c>
      <c r="CQ41" s="8">
        <v>1</v>
      </c>
      <c r="CR41" s="8">
        <v>2</v>
      </c>
      <c r="CS41" s="8">
        <v>2</v>
      </c>
      <c r="CT41" s="8">
        <v>2</v>
      </c>
    </row>
    <row r="42" spans="1:98" ht="12.75" x14ac:dyDescent="0.2">
      <c r="A42" s="19" t="s">
        <v>197</v>
      </c>
      <c r="B42" s="20">
        <v>83</v>
      </c>
      <c r="C42" s="20">
        <v>77</v>
      </c>
      <c r="D42" s="20">
        <v>80</v>
      </c>
      <c r="E42" s="20">
        <v>79.849999999999994</v>
      </c>
      <c r="F42" s="17" t="str">
        <f t="shared" si="2"/>
        <v>PASSED</v>
      </c>
      <c r="G42" s="17">
        <v>1.75</v>
      </c>
      <c r="H42" s="21">
        <v>45383</v>
      </c>
      <c r="I42" s="8" t="s">
        <v>103</v>
      </c>
      <c r="J42" s="8" t="s">
        <v>102</v>
      </c>
      <c r="K42" s="38"/>
      <c r="L42" s="8" t="s">
        <v>91</v>
      </c>
      <c r="M42" s="38"/>
      <c r="N42" s="8" t="s">
        <v>91</v>
      </c>
      <c r="O42" s="38"/>
      <c r="P42" s="8" t="s">
        <v>112</v>
      </c>
      <c r="Q42" s="3" t="s">
        <v>91</v>
      </c>
      <c r="R42" s="5"/>
      <c r="S42" s="8" t="s">
        <v>91</v>
      </c>
      <c r="T42" s="8" t="s">
        <v>160</v>
      </c>
      <c r="U42" s="38"/>
      <c r="V42" s="8" t="s">
        <v>91</v>
      </c>
      <c r="W42" s="38"/>
      <c r="X42" s="8" t="s">
        <v>91</v>
      </c>
      <c r="Y42" s="38"/>
      <c r="Z42" s="8">
        <v>1</v>
      </c>
      <c r="AA42" s="8">
        <v>1</v>
      </c>
      <c r="AB42" s="8">
        <v>1</v>
      </c>
      <c r="AC42" s="8">
        <v>1</v>
      </c>
      <c r="AD42" s="8">
        <v>1</v>
      </c>
      <c r="AE42" s="8">
        <v>1</v>
      </c>
      <c r="AF42" s="8">
        <v>1</v>
      </c>
      <c r="AG42" s="8">
        <v>1</v>
      </c>
      <c r="AH42" s="8">
        <v>1</v>
      </c>
      <c r="AI42" s="8">
        <v>1</v>
      </c>
      <c r="AJ42" s="8">
        <v>1</v>
      </c>
      <c r="AK42" s="8">
        <v>1</v>
      </c>
      <c r="AL42" s="8">
        <v>1</v>
      </c>
      <c r="AM42" s="8">
        <v>1</v>
      </c>
      <c r="AN42" s="8">
        <v>1</v>
      </c>
      <c r="AO42" s="8">
        <v>1</v>
      </c>
      <c r="AP42" s="8">
        <v>1</v>
      </c>
      <c r="AQ42" s="8">
        <v>1</v>
      </c>
      <c r="AR42" s="8">
        <v>1</v>
      </c>
      <c r="AS42" s="8">
        <v>1</v>
      </c>
      <c r="AT42" s="8">
        <v>1</v>
      </c>
      <c r="AU42" s="8">
        <v>1</v>
      </c>
      <c r="AV42" s="8">
        <v>1</v>
      </c>
      <c r="AW42" s="8">
        <v>1</v>
      </c>
      <c r="AX42" s="8">
        <v>1</v>
      </c>
      <c r="AY42" s="8">
        <v>1</v>
      </c>
      <c r="AZ42" s="8">
        <v>1</v>
      </c>
      <c r="BA42" s="8">
        <v>1</v>
      </c>
      <c r="BB42" s="8">
        <v>1</v>
      </c>
      <c r="BC42" s="8">
        <v>1</v>
      </c>
      <c r="BD42" s="8">
        <v>1</v>
      </c>
      <c r="BE42" s="8">
        <v>1</v>
      </c>
      <c r="BF42" s="8">
        <v>1</v>
      </c>
      <c r="BG42" s="8">
        <v>1</v>
      </c>
      <c r="BH42" s="8">
        <v>1</v>
      </c>
      <c r="BI42" s="8">
        <v>1</v>
      </c>
      <c r="BJ42" s="8">
        <v>1</v>
      </c>
      <c r="BK42" s="8">
        <v>1</v>
      </c>
      <c r="BL42" s="8">
        <v>1</v>
      </c>
      <c r="BM42" s="8">
        <v>1</v>
      </c>
      <c r="BN42" s="8">
        <v>1</v>
      </c>
      <c r="BO42" s="8">
        <v>1</v>
      </c>
      <c r="BP42" s="8">
        <v>1</v>
      </c>
      <c r="BQ42" s="8">
        <v>1</v>
      </c>
      <c r="BR42" s="8">
        <v>1</v>
      </c>
      <c r="BS42" s="8">
        <v>1</v>
      </c>
      <c r="BT42" s="8">
        <v>1</v>
      </c>
      <c r="BU42" s="8">
        <v>1</v>
      </c>
      <c r="BV42" s="8">
        <v>1</v>
      </c>
      <c r="BW42" s="8">
        <v>1</v>
      </c>
      <c r="BX42" s="8">
        <v>1</v>
      </c>
      <c r="BY42" s="8">
        <v>1</v>
      </c>
      <c r="BZ42" s="8">
        <v>1</v>
      </c>
      <c r="CA42" s="8">
        <v>1</v>
      </c>
      <c r="CB42" s="8">
        <v>1</v>
      </c>
      <c r="CC42" s="8">
        <v>1</v>
      </c>
      <c r="CD42" s="8">
        <v>1</v>
      </c>
      <c r="CE42" s="8">
        <v>1</v>
      </c>
      <c r="CF42" s="8">
        <v>1</v>
      </c>
      <c r="CG42" s="8">
        <v>1</v>
      </c>
      <c r="CH42" s="8">
        <v>1</v>
      </c>
      <c r="CI42" s="8">
        <v>1</v>
      </c>
      <c r="CJ42" s="8">
        <v>1</v>
      </c>
      <c r="CK42" s="8">
        <v>1</v>
      </c>
      <c r="CL42" s="8">
        <v>1</v>
      </c>
      <c r="CM42" s="8">
        <v>1</v>
      </c>
      <c r="CN42" s="8">
        <v>1</v>
      </c>
      <c r="CO42" s="8">
        <v>1</v>
      </c>
      <c r="CP42" s="8">
        <v>1</v>
      </c>
      <c r="CQ42" s="8">
        <v>1</v>
      </c>
      <c r="CR42" s="8">
        <v>1</v>
      </c>
      <c r="CS42" s="8">
        <v>1</v>
      </c>
      <c r="CT42" s="8">
        <v>1</v>
      </c>
    </row>
    <row r="43" spans="1:98" ht="12.75" x14ac:dyDescent="0.2">
      <c r="A43" s="19" t="s">
        <v>198</v>
      </c>
      <c r="B43" s="20">
        <v>87</v>
      </c>
      <c r="C43" s="20">
        <v>81</v>
      </c>
      <c r="D43" s="20">
        <v>80</v>
      </c>
      <c r="E43" s="20">
        <v>82.05</v>
      </c>
      <c r="F43" s="17" t="str">
        <f t="shared" si="2"/>
        <v>PASSED</v>
      </c>
      <c r="G43" s="17">
        <v>1.94</v>
      </c>
      <c r="H43" s="21">
        <v>45383</v>
      </c>
      <c r="I43" s="3" t="s">
        <v>103</v>
      </c>
      <c r="J43" s="3" t="s">
        <v>102</v>
      </c>
      <c r="K43" s="5"/>
      <c r="L43" s="3" t="s">
        <v>90</v>
      </c>
      <c r="M43" s="3" t="s">
        <v>97</v>
      </c>
      <c r="N43" s="3" t="s">
        <v>91</v>
      </c>
      <c r="O43" s="5"/>
      <c r="P43" s="3" t="s">
        <v>112</v>
      </c>
      <c r="Q43" s="8" t="s">
        <v>91</v>
      </c>
      <c r="R43" s="38"/>
      <c r="S43" s="3" t="s">
        <v>91</v>
      </c>
      <c r="T43" s="3" t="s">
        <v>160</v>
      </c>
      <c r="U43" s="5"/>
      <c r="V43" s="3" t="s">
        <v>91</v>
      </c>
      <c r="W43" s="5"/>
      <c r="X43" s="3" t="s">
        <v>91</v>
      </c>
      <c r="Y43" s="5"/>
      <c r="Z43" s="3">
        <v>2</v>
      </c>
      <c r="AA43" s="3">
        <v>1</v>
      </c>
      <c r="AB43" s="3">
        <v>2</v>
      </c>
      <c r="AC43" s="3">
        <v>2</v>
      </c>
      <c r="AD43" s="3">
        <v>1</v>
      </c>
      <c r="AE43" s="3">
        <v>1</v>
      </c>
      <c r="AF43" s="3">
        <v>2</v>
      </c>
      <c r="AG43" s="3">
        <v>1</v>
      </c>
      <c r="AH43" s="3">
        <v>1</v>
      </c>
      <c r="AI43" s="3">
        <v>2</v>
      </c>
      <c r="AJ43" s="3">
        <v>2</v>
      </c>
      <c r="AK43" s="3">
        <v>1</v>
      </c>
      <c r="AL43" s="3">
        <v>2</v>
      </c>
      <c r="AM43" s="3">
        <v>2</v>
      </c>
      <c r="AN43" s="3">
        <v>3</v>
      </c>
      <c r="AO43" s="3">
        <v>2</v>
      </c>
      <c r="AP43" s="3">
        <v>1</v>
      </c>
      <c r="AQ43" s="3">
        <v>2</v>
      </c>
      <c r="AR43" s="3">
        <v>2</v>
      </c>
      <c r="AS43" s="3">
        <v>2</v>
      </c>
      <c r="AT43" s="3">
        <v>3</v>
      </c>
      <c r="AU43" s="3">
        <v>2</v>
      </c>
      <c r="AV43" s="3">
        <v>2</v>
      </c>
      <c r="AW43" s="3">
        <v>2</v>
      </c>
      <c r="AX43" s="3">
        <v>1</v>
      </c>
      <c r="AY43" s="3">
        <v>1</v>
      </c>
      <c r="AZ43" s="3">
        <v>1</v>
      </c>
      <c r="BA43" s="3">
        <v>2</v>
      </c>
      <c r="BB43" s="3">
        <v>2</v>
      </c>
      <c r="BC43" s="3">
        <v>2</v>
      </c>
      <c r="BD43" s="3">
        <v>2</v>
      </c>
      <c r="BE43" s="3">
        <v>2</v>
      </c>
      <c r="BF43" s="3">
        <v>2</v>
      </c>
      <c r="BG43" s="3">
        <v>1</v>
      </c>
      <c r="BH43" s="3">
        <v>1</v>
      </c>
      <c r="BI43" s="3">
        <v>1</v>
      </c>
      <c r="BJ43" s="3">
        <v>1</v>
      </c>
      <c r="BK43" s="3">
        <v>2</v>
      </c>
      <c r="BL43" s="3">
        <v>1</v>
      </c>
      <c r="BM43" s="3">
        <v>1</v>
      </c>
      <c r="BN43" s="3">
        <v>1</v>
      </c>
      <c r="BO43" s="3">
        <v>1</v>
      </c>
      <c r="BP43" s="3">
        <v>1</v>
      </c>
      <c r="BQ43" s="3">
        <v>2</v>
      </c>
      <c r="BR43" s="3">
        <v>2</v>
      </c>
      <c r="BS43" s="3">
        <v>1</v>
      </c>
      <c r="BT43" s="3">
        <v>2</v>
      </c>
      <c r="BU43" s="3">
        <v>1</v>
      </c>
      <c r="BV43" s="3">
        <v>1</v>
      </c>
      <c r="BW43" s="3">
        <v>1</v>
      </c>
      <c r="BX43" s="3">
        <v>1</v>
      </c>
      <c r="BY43" s="3">
        <v>1</v>
      </c>
      <c r="BZ43" s="3">
        <v>1</v>
      </c>
      <c r="CA43" s="3">
        <v>1</v>
      </c>
      <c r="CB43" s="3">
        <v>1</v>
      </c>
      <c r="CC43" s="3">
        <v>1</v>
      </c>
      <c r="CD43" s="3">
        <v>1</v>
      </c>
      <c r="CE43" s="3">
        <v>1</v>
      </c>
      <c r="CF43" s="3">
        <v>1</v>
      </c>
      <c r="CG43" s="3">
        <v>1</v>
      </c>
      <c r="CH43" s="3">
        <v>1</v>
      </c>
      <c r="CI43" s="3">
        <v>1</v>
      </c>
      <c r="CJ43" s="3">
        <v>1</v>
      </c>
      <c r="CK43" s="3">
        <v>1</v>
      </c>
      <c r="CL43" s="3">
        <v>1</v>
      </c>
      <c r="CM43" s="3">
        <v>1</v>
      </c>
      <c r="CN43" s="3">
        <v>1</v>
      </c>
      <c r="CO43" s="3">
        <v>1</v>
      </c>
      <c r="CP43" s="3">
        <v>1</v>
      </c>
      <c r="CQ43" s="3">
        <v>1</v>
      </c>
      <c r="CR43" s="3">
        <v>1</v>
      </c>
      <c r="CS43" s="3">
        <v>1</v>
      </c>
      <c r="CT43" s="3">
        <v>1</v>
      </c>
    </row>
    <row r="44" spans="1:98" ht="15" x14ac:dyDescent="0.25">
      <c r="A44" s="19" t="s">
        <v>170</v>
      </c>
      <c r="B44" s="20">
        <v>66</v>
      </c>
      <c r="C44" s="20">
        <v>60</v>
      </c>
      <c r="D44" s="20">
        <v>53</v>
      </c>
      <c r="E44" s="20">
        <v>58.35</v>
      </c>
      <c r="F44" s="17" t="s">
        <v>166</v>
      </c>
      <c r="G44" s="25">
        <v>2.1621000000000001</v>
      </c>
      <c r="H44" s="18">
        <v>45383</v>
      </c>
      <c r="I44" s="41" t="s">
        <v>103</v>
      </c>
      <c r="J44" s="41" t="s">
        <v>89</v>
      </c>
      <c r="K44" s="3" t="s">
        <v>139</v>
      </c>
      <c r="L44" s="41" t="s">
        <v>89</v>
      </c>
      <c r="M44" s="3" t="s">
        <v>142</v>
      </c>
      <c r="N44" s="41" t="s">
        <v>90</v>
      </c>
      <c r="O44" s="31" t="s">
        <v>163</v>
      </c>
      <c r="P44" s="41" t="s">
        <v>106</v>
      </c>
      <c r="Q44" s="3" t="s">
        <v>91</v>
      </c>
      <c r="R44" s="5"/>
      <c r="S44" s="41" t="s">
        <v>90</v>
      </c>
      <c r="T44" s="41" t="s">
        <v>101</v>
      </c>
      <c r="U44" s="41" t="s">
        <v>211</v>
      </c>
      <c r="V44" s="41" t="s">
        <v>90</v>
      </c>
      <c r="W44" s="8" t="s">
        <v>94</v>
      </c>
      <c r="X44" s="41" t="s">
        <v>91</v>
      </c>
      <c r="Y44" s="8" t="s">
        <v>124</v>
      </c>
      <c r="Z44" s="47">
        <v>2</v>
      </c>
      <c r="AA44" s="8">
        <v>1</v>
      </c>
      <c r="AB44" s="8">
        <v>3</v>
      </c>
      <c r="AC44" s="8">
        <v>2</v>
      </c>
      <c r="AD44" s="8">
        <v>2</v>
      </c>
      <c r="AE44" s="8">
        <v>1</v>
      </c>
      <c r="AF44" s="8">
        <v>2</v>
      </c>
      <c r="AG44" s="8">
        <v>1</v>
      </c>
      <c r="AH44" s="8">
        <v>1</v>
      </c>
      <c r="AI44" s="8">
        <v>1</v>
      </c>
      <c r="AJ44" s="8">
        <v>1</v>
      </c>
      <c r="AK44" s="8">
        <v>1</v>
      </c>
      <c r="AL44" s="8">
        <v>1</v>
      </c>
      <c r="AM44" s="8">
        <v>1</v>
      </c>
      <c r="AN44" s="8">
        <v>1</v>
      </c>
      <c r="AO44" s="8">
        <v>1</v>
      </c>
      <c r="AP44" s="8">
        <v>1</v>
      </c>
      <c r="AQ44" s="8">
        <v>1</v>
      </c>
      <c r="AR44" s="8">
        <v>1</v>
      </c>
      <c r="AS44" s="8">
        <v>1</v>
      </c>
      <c r="AT44" s="8">
        <v>1</v>
      </c>
      <c r="AU44" s="8">
        <v>1</v>
      </c>
      <c r="AV44" s="8">
        <v>1</v>
      </c>
      <c r="AW44" s="8">
        <v>1</v>
      </c>
      <c r="AX44" s="8">
        <v>1</v>
      </c>
      <c r="AY44" s="8">
        <v>1</v>
      </c>
      <c r="AZ44" s="8">
        <v>1</v>
      </c>
      <c r="BA44" s="8">
        <v>1</v>
      </c>
      <c r="BB44" s="8">
        <v>1</v>
      </c>
      <c r="BC44" s="8">
        <v>1</v>
      </c>
      <c r="BD44" s="8">
        <v>1</v>
      </c>
      <c r="BE44" s="8">
        <v>1</v>
      </c>
      <c r="BF44" s="8">
        <v>1</v>
      </c>
      <c r="BG44" s="3">
        <v>1</v>
      </c>
      <c r="BH44" s="3">
        <v>1</v>
      </c>
      <c r="BI44" s="3">
        <v>1</v>
      </c>
      <c r="BJ44" s="3">
        <v>1</v>
      </c>
      <c r="BK44" s="3">
        <v>1</v>
      </c>
      <c r="BL44" s="3">
        <v>1</v>
      </c>
      <c r="BM44" s="3">
        <v>1</v>
      </c>
      <c r="BN44" s="3">
        <v>1</v>
      </c>
      <c r="BO44" s="3">
        <v>1</v>
      </c>
      <c r="BP44" s="3">
        <v>1</v>
      </c>
      <c r="BQ44" s="3">
        <v>1</v>
      </c>
      <c r="BR44" s="3">
        <v>1</v>
      </c>
      <c r="BS44" s="3">
        <v>1</v>
      </c>
      <c r="BT44" s="3">
        <v>1</v>
      </c>
      <c r="BU44" s="3">
        <v>1</v>
      </c>
      <c r="BV44" s="8">
        <v>1</v>
      </c>
      <c r="BW44" s="8">
        <v>1</v>
      </c>
      <c r="BX44" s="8">
        <v>1</v>
      </c>
      <c r="BY44" s="8">
        <v>1</v>
      </c>
      <c r="BZ44" s="8">
        <v>3</v>
      </c>
      <c r="CA44" s="8">
        <v>3</v>
      </c>
      <c r="CB44" s="8">
        <v>3</v>
      </c>
      <c r="CC44" s="8">
        <v>2</v>
      </c>
      <c r="CD44" s="8">
        <v>3</v>
      </c>
      <c r="CE44" s="8">
        <v>2</v>
      </c>
      <c r="CF44" s="8">
        <v>3</v>
      </c>
      <c r="CG44" s="8">
        <v>3</v>
      </c>
      <c r="CH44" s="8">
        <v>3</v>
      </c>
      <c r="CI44" s="8">
        <v>2</v>
      </c>
      <c r="CJ44" s="8">
        <v>3</v>
      </c>
      <c r="CK44" s="8">
        <v>3</v>
      </c>
      <c r="CL44" s="8">
        <v>2</v>
      </c>
      <c r="CM44" s="8">
        <v>3</v>
      </c>
      <c r="CN44" s="8">
        <v>1</v>
      </c>
      <c r="CO44" s="8">
        <v>2</v>
      </c>
      <c r="CP44" s="8">
        <v>2</v>
      </c>
      <c r="CQ44" s="8">
        <v>1</v>
      </c>
      <c r="CR44" s="8">
        <v>2</v>
      </c>
      <c r="CS44" s="8">
        <v>3</v>
      </c>
      <c r="CT44" s="3">
        <v>2</v>
      </c>
    </row>
    <row r="45" spans="1:98" ht="15" x14ac:dyDescent="0.25">
      <c r="A45" s="19" t="s">
        <v>212</v>
      </c>
      <c r="B45" s="20">
        <v>43</v>
      </c>
      <c r="C45" s="20">
        <v>60</v>
      </c>
      <c r="D45" s="20">
        <v>49</v>
      </c>
      <c r="E45" s="20">
        <v>50.8</v>
      </c>
      <c r="F45" s="17" t="s">
        <v>166</v>
      </c>
      <c r="G45" s="25">
        <v>2.2161</v>
      </c>
      <c r="H45" s="18">
        <v>45383</v>
      </c>
      <c r="I45" s="43" t="s">
        <v>110</v>
      </c>
      <c r="J45" s="43" t="s">
        <v>89</v>
      </c>
      <c r="K45" s="3" t="s">
        <v>139</v>
      </c>
      <c r="L45" s="43" t="s">
        <v>89</v>
      </c>
      <c r="M45" s="8" t="s">
        <v>97</v>
      </c>
      <c r="N45" s="43" t="s">
        <v>90</v>
      </c>
      <c r="O45" s="50" t="s">
        <v>163</v>
      </c>
      <c r="P45" s="43" t="s">
        <v>112</v>
      </c>
      <c r="Q45" s="8" t="s">
        <v>91</v>
      </c>
      <c r="R45" s="38"/>
      <c r="S45" s="43" t="s">
        <v>90</v>
      </c>
      <c r="T45" s="43" t="s">
        <v>160</v>
      </c>
      <c r="U45" s="44"/>
      <c r="V45" s="43" t="s">
        <v>91</v>
      </c>
      <c r="W45" s="44"/>
      <c r="X45" s="43" t="s">
        <v>90</v>
      </c>
      <c r="Y45" s="3" t="s">
        <v>108</v>
      </c>
      <c r="Z45" s="48">
        <v>2</v>
      </c>
      <c r="AA45" s="1">
        <v>2</v>
      </c>
      <c r="AB45" s="1">
        <v>2</v>
      </c>
      <c r="AC45" s="1">
        <v>2</v>
      </c>
      <c r="AD45" s="1">
        <v>3</v>
      </c>
      <c r="AE45" s="1">
        <v>2</v>
      </c>
      <c r="AF45" s="1">
        <v>2</v>
      </c>
      <c r="AG45" s="1">
        <v>2</v>
      </c>
      <c r="AH45" s="1">
        <v>2</v>
      </c>
      <c r="AI45" s="1">
        <v>2</v>
      </c>
      <c r="AJ45" s="1">
        <v>2</v>
      </c>
      <c r="AK45" s="1">
        <v>2</v>
      </c>
      <c r="AL45" s="1">
        <v>3</v>
      </c>
      <c r="AM45" s="1">
        <v>3</v>
      </c>
      <c r="AN45" s="7">
        <v>3</v>
      </c>
      <c r="AO45" s="7">
        <v>3</v>
      </c>
      <c r="AP45" s="7">
        <v>3</v>
      </c>
      <c r="AQ45" s="7">
        <v>3</v>
      </c>
      <c r="AR45" s="1">
        <v>3</v>
      </c>
      <c r="AS45" s="1">
        <v>3</v>
      </c>
      <c r="AT45" s="1">
        <v>2</v>
      </c>
      <c r="AU45" s="1">
        <v>3</v>
      </c>
      <c r="AV45" s="1">
        <v>2</v>
      </c>
      <c r="AW45" s="1">
        <v>3</v>
      </c>
      <c r="AX45" s="1">
        <v>3</v>
      </c>
      <c r="AY45" s="1">
        <v>3</v>
      </c>
      <c r="AZ45" s="1">
        <v>3</v>
      </c>
      <c r="BA45" s="1">
        <v>3</v>
      </c>
      <c r="BB45" s="1">
        <v>3</v>
      </c>
      <c r="BC45" s="1">
        <v>3</v>
      </c>
      <c r="BD45" s="1">
        <v>3</v>
      </c>
      <c r="BE45" s="1">
        <v>3</v>
      </c>
      <c r="BF45" s="1">
        <v>3</v>
      </c>
      <c r="BG45" s="1">
        <v>3</v>
      </c>
      <c r="BH45" s="1">
        <v>3</v>
      </c>
      <c r="BI45" s="1">
        <v>3</v>
      </c>
      <c r="BJ45" s="1">
        <v>3</v>
      </c>
      <c r="BK45" s="1">
        <v>3</v>
      </c>
      <c r="BL45" s="1">
        <v>3</v>
      </c>
      <c r="BM45" s="1">
        <v>3</v>
      </c>
      <c r="BN45" s="1">
        <v>3</v>
      </c>
      <c r="BO45" s="1">
        <v>3</v>
      </c>
      <c r="BP45" s="1">
        <v>4</v>
      </c>
      <c r="BQ45" s="1">
        <v>3</v>
      </c>
      <c r="BR45" s="1">
        <v>3</v>
      </c>
      <c r="BS45" s="1">
        <v>3</v>
      </c>
      <c r="BT45" s="1">
        <v>3</v>
      </c>
      <c r="BU45" s="1">
        <v>3</v>
      </c>
      <c r="BV45" s="7">
        <v>3</v>
      </c>
      <c r="BW45" s="7">
        <v>3</v>
      </c>
      <c r="BX45" s="7">
        <v>3</v>
      </c>
      <c r="BY45" s="7">
        <v>3</v>
      </c>
      <c r="BZ45" s="7">
        <v>2</v>
      </c>
      <c r="CA45" s="7">
        <v>2</v>
      </c>
      <c r="CB45" s="7">
        <v>2</v>
      </c>
      <c r="CC45" s="7">
        <v>3</v>
      </c>
      <c r="CD45" s="7">
        <v>3</v>
      </c>
      <c r="CE45" s="7">
        <v>2</v>
      </c>
      <c r="CF45" s="7">
        <v>3</v>
      </c>
      <c r="CG45" s="7">
        <v>2</v>
      </c>
      <c r="CH45" s="7">
        <v>2</v>
      </c>
      <c r="CI45" s="7">
        <v>2</v>
      </c>
      <c r="CJ45" s="7">
        <v>4</v>
      </c>
      <c r="CK45" s="7">
        <v>3</v>
      </c>
      <c r="CL45" s="7">
        <v>2</v>
      </c>
      <c r="CM45" s="7">
        <v>2</v>
      </c>
      <c r="CN45" s="7">
        <v>3</v>
      </c>
      <c r="CO45" s="7">
        <v>2</v>
      </c>
      <c r="CP45" s="7">
        <v>3</v>
      </c>
      <c r="CQ45" s="7">
        <v>3</v>
      </c>
      <c r="CR45" s="7">
        <v>2</v>
      </c>
      <c r="CS45" s="7">
        <v>2</v>
      </c>
      <c r="CT45" s="1">
        <v>2</v>
      </c>
    </row>
    <row r="46" spans="1:98" ht="15" x14ac:dyDescent="0.25">
      <c r="A46" s="19" t="s">
        <v>214</v>
      </c>
      <c r="B46" s="20">
        <v>74</v>
      </c>
      <c r="C46" s="20">
        <v>70</v>
      </c>
      <c r="D46" s="20">
        <v>57</v>
      </c>
      <c r="E46" s="20">
        <v>65.150000000000006</v>
      </c>
      <c r="F46" s="17" t="s">
        <v>166</v>
      </c>
      <c r="G46" s="25">
        <v>2.0150999999999999</v>
      </c>
      <c r="H46" s="18">
        <v>45383</v>
      </c>
      <c r="I46" s="41" t="s">
        <v>115</v>
      </c>
      <c r="J46" s="41" t="s">
        <v>89</v>
      </c>
      <c r="K46" s="8" t="s">
        <v>131</v>
      </c>
      <c r="L46" s="41" t="s">
        <v>89</v>
      </c>
      <c r="M46" s="8" t="s">
        <v>97</v>
      </c>
      <c r="N46" s="41" t="s">
        <v>90</v>
      </c>
      <c r="O46" s="31" t="s">
        <v>163</v>
      </c>
      <c r="P46" s="41" t="s">
        <v>99</v>
      </c>
      <c r="Q46" s="3" t="s">
        <v>91</v>
      </c>
      <c r="R46" s="5"/>
      <c r="S46" s="41" t="s">
        <v>90</v>
      </c>
      <c r="T46" s="41" t="s">
        <v>160</v>
      </c>
      <c r="U46" s="41" t="s">
        <v>211</v>
      </c>
      <c r="V46" s="41" t="s">
        <v>90</v>
      </c>
      <c r="W46" s="8" t="s">
        <v>134</v>
      </c>
      <c r="X46" s="41" t="s">
        <v>90</v>
      </c>
      <c r="Y46" s="8" t="s">
        <v>151</v>
      </c>
      <c r="Z46" s="47">
        <v>1</v>
      </c>
      <c r="AA46" s="8">
        <v>3</v>
      </c>
      <c r="AB46" s="8">
        <v>2</v>
      </c>
      <c r="AC46" s="8">
        <v>2</v>
      </c>
      <c r="AD46" s="8">
        <v>2</v>
      </c>
      <c r="AE46" s="8">
        <v>1</v>
      </c>
      <c r="AF46" s="8">
        <v>1</v>
      </c>
      <c r="AG46" s="8">
        <v>1</v>
      </c>
      <c r="AH46" s="8">
        <v>1</v>
      </c>
      <c r="AI46" s="8">
        <v>2</v>
      </c>
      <c r="AJ46" s="8">
        <v>1</v>
      </c>
      <c r="AK46" s="8">
        <v>1</v>
      </c>
      <c r="AL46" s="8">
        <v>1</v>
      </c>
      <c r="AM46" s="8">
        <v>1</v>
      </c>
      <c r="AN46" s="8">
        <v>1</v>
      </c>
      <c r="AO46" s="8">
        <v>1</v>
      </c>
      <c r="AP46" s="8">
        <v>1</v>
      </c>
      <c r="AQ46" s="8">
        <v>1</v>
      </c>
      <c r="AR46" s="8">
        <v>1</v>
      </c>
      <c r="AS46" s="8">
        <v>1</v>
      </c>
      <c r="AT46" s="8">
        <v>1</v>
      </c>
      <c r="AU46" s="8">
        <v>1</v>
      </c>
      <c r="AV46" s="8">
        <v>1</v>
      </c>
      <c r="AW46" s="8">
        <v>1</v>
      </c>
      <c r="AX46" s="8">
        <v>1</v>
      </c>
      <c r="AY46" s="8">
        <v>4</v>
      </c>
      <c r="AZ46" s="8">
        <v>1</v>
      </c>
      <c r="BA46" s="8">
        <v>1</v>
      </c>
      <c r="BB46" s="8">
        <v>1</v>
      </c>
      <c r="BC46" s="8">
        <v>1</v>
      </c>
      <c r="BD46" s="8">
        <v>1</v>
      </c>
      <c r="BE46" s="8">
        <v>1</v>
      </c>
      <c r="BF46" s="8">
        <v>1</v>
      </c>
      <c r="BG46" s="8">
        <v>1</v>
      </c>
      <c r="BH46" s="8">
        <v>1</v>
      </c>
      <c r="BI46" s="8">
        <v>1</v>
      </c>
      <c r="BJ46" s="8">
        <v>1</v>
      </c>
      <c r="BK46" s="8">
        <v>1</v>
      </c>
      <c r="BL46" s="8">
        <v>4</v>
      </c>
      <c r="BM46" s="8">
        <v>1</v>
      </c>
      <c r="BN46" s="8">
        <v>1</v>
      </c>
      <c r="BO46" s="8">
        <v>1</v>
      </c>
      <c r="BP46" s="8">
        <v>1</v>
      </c>
      <c r="BQ46" s="8">
        <v>1</v>
      </c>
      <c r="BR46" s="8">
        <v>1</v>
      </c>
      <c r="BS46" s="8">
        <v>1</v>
      </c>
      <c r="BT46" s="8">
        <v>3</v>
      </c>
      <c r="BU46" s="8">
        <v>1</v>
      </c>
      <c r="BV46" s="8">
        <v>1</v>
      </c>
      <c r="BW46" s="8">
        <v>1</v>
      </c>
      <c r="BX46" s="8">
        <v>1</v>
      </c>
      <c r="BY46" s="8">
        <v>1</v>
      </c>
      <c r="BZ46" s="8">
        <v>3</v>
      </c>
      <c r="CA46" s="8">
        <v>3</v>
      </c>
      <c r="CB46" s="8">
        <v>2</v>
      </c>
      <c r="CC46" s="8">
        <v>3</v>
      </c>
      <c r="CD46" s="8">
        <v>2</v>
      </c>
      <c r="CE46" s="8">
        <v>3</v>
      </c>
      <c r="CF46" s="8">
        <v>3</v>
      </c>
      <c r="CG46" s="8">
        <v>2</v>
      </c>
      <c r="CH46" s="8">
        <v>3</v>
      </c>
      <c r="CI46" s="8">
        <v>3</v>
      </c>
      <c r="CJ46" s="8">
        <v>2</v>
      </c>
      <c r="CK46" s="8">
        <v>3</v>
      </c>
      <c r="CL46" s="8">
        <v>2</v>
      </c>
      <c r="CM46" s="8">
        <v>3</v>
      </c>
      <c r="CN46" s="8">
        <v>1</v>
      </c>
      <c r="CO46" s="8">
        <v>3</v>
      </c>
      <c r="CP46" s="8">
        <v>2</v>
      </c>
      <c r="CQ46" s="8">
        <v>2</v>
      </c>
      <c r="CR46" s="8">
        <v>2</v>
      </c>
      <c r="CS46" s="8">
        <v>3</v>
      </c>
      <c r="CT46" s="3">
        <v>1</v>
      </c>
    </row>
    <row r="47" spans="1:98" ht="15" x14ac:dyDescent="0.25">
      <c r="A47" s="19" t="s">
        <v>183</v>
      </c>
      <c r="B47" s="20">
        <v>64</v>
      </c>
      <c r="C47" s="20">
        <v>64</v>
      </c>
      <c r="D47" s="20">
        <v>59</v>
      </c>
      <c r="E47" s="20">
        <v>61.75</v>
      </c>
      <c r="F47" s="17" t="s">
        <v>166</v>
      </c>
      <c r="G47" s="25">
        <v>1.9140999999999999</v>
      </c>
      <c r="H47" s="18">
        <v>45505</v>
      </c>
      <c r="I47" s="43" t="s">
        <v>103</v>
      </c>
      <c r="J47" s="43" t="s">
        <v>102</v>
      </c>
      <c r="K47" s="44"/>
      <c r="L47" s="43" t="s">
        <v>102</v>
      </c>
      <c r="M47" s="44"/>
      <c r="N47" s="43" t="s">
        <v>90</v>
      </c>
      <c r="O47" s="50" t="s">
        <v>162</v>
      </c>
      <c r="P47" s="43" t="s">
        <v>99</v>
      </c>
      <c r="Q47" s="8" t="s">
        <v>91</v>
      </c>
      <c r="R47" s="38"/>
      <c r="S47" s="43" t="s">
        <v>91</v>
      </c>
      <c r="T47" s="43" t="s">
        <v>160</v>
      </c>
      <c r="U47" s="44"/>
      <c r="V47" s="43" t="s">
        <v>91</v>
      </c>
      <c r="W47" s="44"/>
      <c r="X47" s="43" t="s">
        <v>90</v>
      </c>
      <c r="Y47" s="3" t="s">
        <v>95</v>
      </c>
      <c r="Z47" s="48">
        <v>3</v>
      </c>
      <c r="AA47" s="1">
        <v>2</v>
      </c>
      <c r="AB47" s="1">
        <v>3</v>
      </c>
      <c r="AC47" s="1">
        <v>2</v>
      </c>
      <c r="AD47" s="1">
        <v>2</v>
      </c>
      <c r="AE47" s="1">
        <v>3</v>
      </c>
      <c r="AF47" s="1">
        <v>2</v>
      </c>
      <c r="AG47" s="1">
        <v>2</v>
      </c>
      <c r="AH47" s="1">
        <v>2</v>
      </c>
      <c r="AI47" s="1">
        <v>2</v>
      </c>
      <c r="AJ47" s="1">
        <v>2</v>
      </c>
      <c r="AK47" s="1">
        <v>2</v>
      </c>
      <c r="AL47" s="1">
        <v>1</v>
      </c>
      <c r="AM47" s="1">
        <v>1</v>
      </c>
      <c r="AN47" s="1">
        <v>1</v>
      </c>
      <c r="AO47" s="1">
        <v>1</v>
      </c>
      <c r="AP47" s="1">
        <v>1</v>
      </c>
      <c r="AQ47" s="1">
        <v>1</v>
      </c>
      <c r="AR47" s="1">
        <v>1</v>
      </c>
      <c r="AS47" s="1">
        <v>1</v>
      </c>
      <c r="AT47" s="1">
        <v>1</v>
      </c>
      <c r="AU47" s="1">
        <v>1</v>
      </c>
      <c r="AV47" s="1">
        <v>1</v>
      </c>
      <c r="AW47" s="1">
        <v>1</v>
      </c>
      <c r="AX47" s="1">
        <v>1</v>
      </c>
      <c r="AY47" s="1">
        <v>1</v>
      </c>
      <c r="AZ47" s="1">
        <v>1</v>
      </c>
      <c r="BA47" s="1">
        <v>1</v>
      </c>
      <c r="BB47" s="1">
        <v>4</v>
      </c>
      <c r="BC47" s="1">
        <v>1</v>
      </c>
      <c r="BD47" s="1">
        <v>1</v>
      </c>
      <c r="BE47" s="1">
        <v>1</v>
      </c>
      <c r="BF47" s="1">
        <v>1</v>
      </c>
      <c r="BG47" s="1">
        <v>1</v>
      </c>
      <c r="BH47" s="1">
        <v>1</v>
      </c>
      <c r="BI47" s="1">
        <v>1</v>
      </c>
      <c r="BJ47" s="1">
        <v>1</v>
      </c>
      <c r="BK47" s="1">
        <v>1</v>
      </c>
      <c r="BL47" s="1">
        <v>1</v>
      </c>
      <c r="BM47" s="1">
        <v>1</v>
      </c>
      <c r="BN47" s="1">
        <v>2</v>
      </c>
      <c r="BO47" s="1">
        <v>2</v>
      </c>
      <c r="BP47" s="1">
        <v>2</v>
      </c>
      <c r="BQ47" s="1">
        <v>1</v>
      </c>
      <c r="BR47" s="1">
        <v>4</v>
      </c>
      <c r="BS47" s="1">
        <v>1</v>
      </c>
      <c r="BT47" s="1">
        <v>2</v>
      </c>
      <c r="BU47" s="1">
        <v>1</v>
      </c>
      <c r="BV47" s="1">
        <v>1</v>
      </c>
      <c r="BW47" s="1">
        <v>1</v>
      </c>
      <c r="BX47" s="1">
        <v>1</v>
      </c>
      <c r="BY47" s="1">
        <v>1</v>
      </c>
      <c r="BZ47" s="1">
        <v>4</v>
      </c>
      <c r="CA47" s="1">
        <v>1</v>
      </c>
      <c r="CB47" s="1">
        <v>3</v>
      </c>
      <c r="CC47" s="1">
        <v>4</v>
      </c>
      <c r="CD47" s="1">
        <v>2</v>
      </c>
      <c r="CE47" s="1">
        <v>2</v>
      </c>
      <c r="CF47" s="1">
        <v>2</v>
      </c>
      <c r="CG47" s="1">
        <v>2</v>
      </c>
      <c r="CH47" s="1">
        <v>1</v>
      </c>
      <c r="CI47" s="1">
        <v>3</v>
      </c>
      <c r="CJ47" s="1">
        <v>2</v>
      </c>
      <c r="CK47" s="7">
        <v>2</v>
      </c>
      <c r="CL47" s="7">
        <v>2</v>
      </c>
      <c r="CM47" s="7">
        <v>1</v>
      </c>
      <c r="CN47" s="7">
        <v>1</v>
      </c>
      <c r="CO47" s="7">
        <v>2</v>
      </c>
      <c r="CP47" s="7">
        <v>2</v>
      </c>
      <c r="CQ47" s="7">
        <v>3</v>
      </c>
      <c r="CR47" s="7">
        <v>3</v>
      </c>
      <c r="CS47" s="7">
        <v>3</v>
      </c>
      <c r="CT47" s="7">
        <v>2</v>
      </c>
    </row>
    <row r="48" spans="1:98" ht="15" x14ac:dyDescent="0.25">
      <c r="A48" s="19" t="s">
        <v>182</v>
      </c>
      <c r="B48" s="20">
        <v>64</v>
      </c>
      <c r="C48" s="20">
        <v>72</v>
      </c>
      <c r="D48" s="20">
        <v>59</v>
      </c>
      <c r="E48" s="20">
        <v>60.1</v>
      </c>
      <c r="F48" s="17" t="s">
        <v>166</v>
      </c>
      <c r="G48" s="25">
        <v>2.2130999999999998</v>
      </c>
      <c r="H48" s="18">
        <v>45505</v>
      </c>
      <c r="I48" s="41" t="s">
        <v>103</v>
      </c>
      <c r="J48" s="41" t="s">
        <v>102</v>
      </c>
      <c r="K48" s="28"/>
      <c r="L48" s="41" t="s">
        <v>89</v>
      </c>
      <c r="M48" s="3" t="s">
        <v>149</v>
      </c>
      <c r="N48" s="41" t="s">
        <v>90</v>
      </c>
      <c r="O48" s="31" t="s">
        <v>162</v>
      </c>
      <c r="P48" s="41" t="s">
        <v>106</v>
      </c>
      <c r="Q48" s="3" t="s">
        <v>91</v>
      </c>
      <c r="R48" s="5"/>
      <c r="S48" s="41" t="s">
        <v>91</v>
      </c>
      <c r="T48" s="41" t="s">
        <v>160</v>
      </c>
      <c r="U48" s="28"/>
      <c r="V48" s="41" t="s">
        <v>91</v>
      </c>
      <c r="W48" s="28"/>
      <c r="X48" s="41" t="s">
        <v>91</v>
      </c>
      <c r="Y48" s="8" t="s">
        <v>151</v>
      </c>
      <c r="Z48" s="45">
        <v>1</v>
      </c>
      <c r="AA48" s="3">
        <v>3</v>
      </c>
      <c r="AB48" s="3">
        <v>3</v>
      </c>
      <c r="AC48" s="3">
        <v>2</v>
      </c>
      <c r="AD48" s="3">
        <v>1</v>
      </c>
      <c r="AE48" s="3">
        <v>1</v>
      </c>
      <c r="AF48" s="3">
        <v>2</v>
      </c>
      <c r="AG48" s="3">
        <v>1</v>
      </c>
      <c r="AH48" s="3">
        <v>1</v>
      </c>
      <c r="AI48" s="3">
        <v>2</v>
      </c>
      <c r="AJ48" s="3">
        <v>2</v>
      </c>
      <c r="AK48" s="3">
        <v>1</v>
      </c>
      <c r="AL48" s="3">
        <v>1</v>
      </c>
      <c r="AM48" s="3">
        <v>1</v>
      </c>
      <c r="AN48" s="8">
        <v>1</v>
      </c>
      <c r="AO48" s="8">
        <v>1</v>
      </c>
      <c r="AP48" s="8">
        <v>1</v>
      </c>
      <c r="AQ48" s="8">
        <v>1</v>
      </c>
      <c r="AR48" s="8">
        <v>1</v>
      </c>
      <c r="AS48" s="8">
        <v>1</v>
      </c>
      <c r="AT48" s="8">
        <v>1</v>
      </c>
      <c r="AU48" s="8">
        <v>1</v>
      </c>
      <c r="AV48" s="8">
        <v>1</v>
      </c>
      <c r="AW48" s="8">
        <v>1</v>
      </c>
      <c r="AX48" s="8">
        <v>4</v>
      </c>
      <c r="AY48" s="8">
        <v>1</v>
      </c>
      <c r="AZ48" s="8">
        <v>1</v>
      </c>
      <c r="BA48" s="8">
        <v>1</v>
      </c>
      <c r="BB48" s="8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>
        <v>1</v>
      </c>
      <c r="BI48" s="3">
        <v>1</v>
      </c>
      <c r="BJ48" s="3">
        <v>1</v>
      </c>
      <c r="BK48" s="3">
        <v>1</v>
      </c>
      <c r="BL48" s="3">
        <v>4</v>
      </c>
      <c r="BM48" s="3">
        <v>1</v>
      </c>
      <c r="BN48" s="3">
        <v>1</v>
      </c>
      <c r="BO48" s="8">
        <v>1</v>
      </c>
      <c r="BP48" s="8">
        <v>1</v>
      </c>
      <c r="BQ48" s="8">
        <v>1</v>
      </c>
      <c r="BR48" s="8">
        <v>3</v>
      </c>
      <c r="BS48" s="8">
        <v>2</v>
      </c>
      <c r="BT48" s="8">
        <v>1</v>
      </c>
      <c r="BU48" s="8">
        <v>3</v>
      </c>
      <c r="BV48" s="8">
        <v>1</v>
      </c>
      <c r="BW48" s="8">
        <v>1</v>
      </c>
      <c r="BX48" s="8">
        <v>1</v>
      </c>
      <c r="BY48" s="8">
        <v>1</v>
      </c>
      <c r="BZ48" s="8">
        <v>1</v>
      </c>
      <c r="CA48" s="8">
        <v>2</v>
      </c>
      <c r="CB48" s="8">
        <v>2</v>
      </c>
      <c r="CC48" s="8">
        <v>3</v>
      </c>
      <c r="CD48" s="8">
        <v>1</v>
      </c>
      <c r="CE48" s="8">
        <v>3</v>
      </c>
      <c r="CF48" s="8">
        <v>1</v>
      </c>
      <c r="CG48" s="8">
        <v>2</v>
      </c>
      <c r="CH48" s="8">
        <v>3</v>
      </c>
      <c r="CI48" s="8">
        <v>2</v>
      </c>
      <c r="CJ48" s="8">
        <v>3</v>
      </c>
      <c r="CK48" s="8">
        <v>1</v>
      </c>
      <c r="CL48" s="8">
        <v>3</v>
      </c>
      <c r="CM48" s="8">
        <v>1</v>
      </c>
      <c r="CN48" s="8">
        <v>2</v>
      </c>
      <c r="CO48" s="8">
        <v>3</v>
      </c>
      <c r="CP48" s="8">
        <v>3</v>
      </c>
      <c r="CQ48" s="8">
        <v>3</v>
      </c>
      <c r="CR48" s="8">
        <v>2</v>
      </c>
      <c r="CS48" s="8">
        <v>2</v>
      </c>
      <c r="CT48" s="8">
        <v>2</v>
      </c>
    </row>
    <row r="49" spans="1:98" ht="15" x14ac:dyDescent="0.25">
      <c r="A49" s="19" t="s">
        <v>215</v>
      </c>
      <c r="B49" s="20">
        <v>48</v>
      </c>
      <c r="C49" s="20">
        <v>56</v>
      </c>
      <c r="D49" s="20">
        <v>63</v>
      </c>
      <c r="E49" s="20">
        <v>57.15</v>
      </c>
      <c r="F49" s="17" t="s">
        <v>166</v>
      </c>
      <c r="G49" s="25">
        <v>2.5411999999999999</v>
      </c>
      <c r="H49" s="18">
        <v>45505</v>
      </c>
      <c r="I49" s="43" t="s">
        <v>103</v>
      </c>
      <c r="J49" s="43" t="s">
        <v>102</v>
      </c>
      <c r="K49" s="44"/>
      <c r="L49" s="43" t="s">
        <v>102</v>
      </c>
      <c r="M49" s="44"/>
      <c r="N49" s="43" t="s">
        <v>90</v>
      </c>
      <c r="O49" s="50" t="s">
        <v>162</v>
      </c>
      <c r="P49" s="43" t="s">
        <v>112</v>
      </c>
      <c r="Q49" s="8" t="s">
        <v>91</v>
      </c>
      <c r="R49" s="38"/>
      <c r="S49" s="43" t="s">
        <v>90</v>
      </c>
      <c r="T49" s="43" t="s">
        <v>101</v>
      </c>
      <c r="U49" s="43" t="s">
        <v>211</v>
      </c>
      <c r="V49" s="43" t="s">
        <v>90</v>
      </c>
      <c r="W49" s="8" t="s">
        <v>134</v>
      </c>
      <c r="X49" s="43" t="s">
        <v>91</v>
      </c>
      <c r="Y49" s="3" t="s">
        <v>108</v>
      </c>
      <c r="Z49" s="48">
        <v>1</v>
      </c>
      <c r="AA49" s="1">
        <v>3</v>
      </c>
      <c r="AB49" s="1">
        <v>3</v>
      </c>
      <c r="AC49" s="1">
        <v>1</v>
      </c>
      <c r="AD49" s="1">
        <v>1</v>
      </c>
      <c r="AE49" s="1">
        <v>1</v>
      </c>
      <c r="AF49" s="1">
        <v>1</v>
      </c>
      <c r="AG49" s="1">
        <v>1</v>
      </c>
      <c r="AH49" s="1">
        <v>1</v>
      </c>
      <c r="AI49" s="1">
        <v>1</v>
      </c>
      <c r="AJ49" s="1">
        <v>2</v>
      </c>
      <c r="AK49" s="1">
        <v>2</v>
      </c>
      <c r="AL49" s="1">
        <v>3</v>
      </c>
      <c r="AM49" s="1">
        <v>3</v>
      </c>
      <c r="AN49" s="1">
        <v>3</v>
      </c>
      <c r="AO49" s="1">
        <v>3</v>
      </c>
      <c r="AP49" s="1">
        <v>3</v>
      </c>
      <c r="AQ49" s="1">
        <v>3</v>
      </c>
      <c r="AR49" s="1">
        <v>3</v>
      </c>
      <c r="AS49" s="1">
        <v>1</v>
      </c>
      <c r="AT49" s="1">
        <v>3</v>
      </c>
      <c r="AU49" s="1">
        <v>1</v>
      </c>
      <c r="AV49" s="1">
        <v>1</v>
      </c>
      <c r="AW49" s="1">
        <v>1</v>
      </c>
      <c r="AX49" s="1">
        <v>3</v>
      </c>
      <c r="AY49" s="1">
        <v>3</v>
      </c>
      <c r="AZ49" s="1">
        <v>3</v>
      </c>
      <c r="BA49" s="1">
        <v>3</v>
      </c>
      <c r="BB49" s="1">
        <v>3</v>
      </c>
      <c r="BC49" s="1">
        <v>3</v>
      </c>
      <c r="BD49" s="1">
        <v>3</v>
      </c>
      <c r="BE49" s="1">
        <v>3</v>
      </c>
      <c r="BF49" s="1">
        <v>3</v>
      </c>
      <c r="BG49" s="1">
        <v>3</v>
      </c>
      <c r="BH49" s="1">
        <v>3</v>
      </c>
      <c r="BI49" s="1">
        <v>3</v>
      </c>
      <c r="BJ49" s="1">
        <v>3</v>
      </c>
      <c r="BK49" s="1">
        <v>2</v>
      </c>
      <c r="BL49" s="1">
        <v>3</v>
      </c>
      <c r="BM49" s="1">
        <v>3</v>
      </c>
      <c r="BN49" s="1">
        <v>3</v>
      </c>
      <c r="BO49" s="7">
        <v>3</v>
      </c>
      <c r="BP49" s="7">
        <v>3</v>
      </c>
      <c r="BQ49" s="7">
        <v>3</v>
      </c>
      <c r="BR49" s="7">
        <v>3</v>
      </c>
      <c r="BS49" s="7">
        <v>3</v>
      </c>
      <c r="BT49" s="7">
        <v>3</v>
      </c>
      <c r="BU49" s="7">
        <v>3</v>
      </c>
      <c r="BV49" s="7">
        <v>3</v>
      </c>
      <c r="BW49" s="7">
        <v>3</v>
      </c>
      <c r="BX49" s="7">
        <v>3</v>
      </c>
      <c r="BY49" s="7">
        <v>3</v>
      </c>
      <c r="BZ49" s="7">
        <v>1</v>
      </c>
      <c r="CA49" s="7">
        <v>4</v>
      </c>
      <c r="CB49" s="7">
        <v>2</v>
      </c>
      <c r="CC49" s="7">
        <v>3</v>
      </c>
      <c r="CD49" s="1">
        <v>2</v>
      </c>
      <c r="CE49" s="1">
        <v>2</v>
      </c>
      <c r="CF49" s="1">
        <v>3</v>
      </c>
      <c r="CG49" s="1">
        <v>3</v>
      </c>
      <c r="CH49" s="1">
        <v>3</v>
      </c>
      <c r="CI49" s="1">
        <v>3</v>
      </c>
      <c r="CJ49" s="1">
        <v>2</v>
      </c>
      <c r="CK49" s="1">
        <v>3</v>
      </c>
      <c r="CL49" s="1">
        <v>3</v>
      </c>
      <c r="CM49" s="1">
        <v>2</v>
      </c>
      <c r="CN49" s="1">
        <v>2</v>
      </c>
      <c r="CO49" s="1">
        <v>2</v>
      </c>
      <c r="CP49" s="1">
        <v>1</v>
      </c>
      <c r="CQ49" s="1">
        <v>2</v>
      </c>
      <c r="CR49" s="1">
        <v>3</v>
      </c>
      <c r="CS49" s="1">
        <v>1</v>
      </c>
      <c r="CT49" s="46">
        <v>2</v>
      </c>
    </row>
    <row r="50" spans="1:98" ht="15" x14ac:dyDescent="0.25">
      <c r="A50" s="40" t="s">
        <v>154</v>
      </c>
      <c r="B50" s="27">
        <v>70</v>
      </c>
      <c r="C50" s="27">
        <v>70</v>
      </c>
      <c r="D50" s="27">
        <v>70</v>
      </c>
      <c r="E50" s="20">
        <v>70</v>
      </c>
      <c r="F50" s="17" t="str">
        <f t="shared" ref="F50:F51" si="3">IF(E50&gt;=70,"PASSED", "---")</f>
        <v>PASSED</v>
      </c>
      <c r="G50" s="25">
        <v>2.52</v>
      </c>
      <c r="H50" s="21">
        <v>45505</v>
      </c>
      <c r="I50" s="1" t="s">
        <v>110</v>
      </c>
      <c r="J50" s="8" t="s">
        <v>89</v>
      </c>
      <c r="K50" s="3" t="s">
        <v>111</v>
      </c>
      <c r="L50" s="8" t="s">
        <v>91</v>
      </c>
      <c r="M50" s="38"/>
      <c r="N50" s="8" t="s">
        <v>90</v>
      </c>
      <c r="O50" s="8" t="s">
        <v>123</v>
      </c>
      <c r="P50" s="8" t="s">
        <v>106</v>
      </c>
      <c r="Q50" s="3" t="s">
        <v>91</v>
      </c>
      <c r="R50" s="5"/>
      <c r="S50" s="8" t="s">
        <v>91</v>
      </c>
      <c r="T50" s="8" t="s">
        <v>160</v>
      </c>
      <c r="U50" s="38"/>
      <c r="V50" s="8" t="s">
        <v>90</v>
      </c>
      <c r="W50" s="8" t="s">
        <v>148</v>
      </c>
      <c r="X50" s="8" t="s">
        <v>91</v>
      </c>
      <c r="Y50" s="38"/>
      <c r="Z50" s="8">
        <v>3</v>
      </c>
      <c r="AA50" s="8">
        <v>2</v>
      </c>
      <c r="AB50" s="8">
        <v>2</v>
      </c>
      <c r="AC50" s="8">
        <v>2</v>
      </c>
      <c r="AD50" s="8">
        <v>2</v>
      </c>
      <c r="AE50" s="8">
        <v>2</v>
      </c>
      <c r="AF50" s="8">
        <v>2</v>
      </c>
      <c r="AG50" s="8">
        <v>2</v>
      </c>
      <c r="AH50" s="8">
        <v>2</v>
      </c>
      <c r="AI50" s="8">
        <v>2</v>
      </c>
      <c r="AJ50" s="8">
        <v>2</v>
      </c>
      <c r="AK50" s="8">
        <v>2</v>
      </c>
      <c r="AL50" s="8">
        <v>2</v>
      </c>
      <c r="AM50" s="8">
        <v>2</v>
      </c>
      <c r="AN50" s="8">
        <v>3</v>
      </c>
      <c r="AO50" s="8">
        <v>3</v>
      </c>
      <c r="AP50" s="8">
        <v>3</v>
      </c>
      <c r="AQ50" s="8">
        <v>2</v>
      </c>
      <c r="AR50" s="8">
        <v>3</v>
      </c>
      <c r="AS50" s="8">
        <v>2</v>
      </c>
      <c r="AT50" s="8">
        <v>3</v>
      </c>
      <c r="AU50" s="8">
        <v>2</v>
      </c>
      <c r="AV50" s="8">
        <v>2</v>
      </c>
      <c r="AW50" s="8">
        <v>2</v>
      </c>
      <c r="AX50" s="8">
        <v>1</v>
      </c>
      <c r="AY50" s="8">
        <v>1</v>
      </c>
      <c r="AZ50" s="8">
        <v>1</v>
      </c>
      <c r="BA50" s="8">
        <v>3</v>
      </c>
      <c r="BB50" s="8">
        <v>3</v>
      </c>
      <c r="BC50" s="8">
        <v>3</v>
      </c>
      <c r="BD50" s="8">
        <v>2</v>
      </c>
      <c r="BE50" s="8">
        <v>1</v>
      </c>
      <c r="BF50" s="8">
        <v>2</v>
      </c>
      <c r="BG50" s="8">
        <v>1</v>
      </c>
      <c r="BH50" s="8">
        <v>1</v>
      </c>
      <c r="BI50" s="8">
        <v>1</v>
      </c>
      <c r="BJ50" s="8">
        <v>2</v>
      </c>
      <c r="BK50" s="8">
        <v>2</v>
      </c>
      <c r="BL50" s="8">
        <v>2</v>
      </c>
      <c r="BM50" s="8">
        <v>2</v>
      </c>
      <c r="BN50" s="8">
        <v>1</v>
      </c>
      <c r="BO50" s="8">
        <v>1</v>
      </c>
      <c r="BP50" s="8">
        <v>1</v>
      </c>
      <c r="BQ50" s="8">
        <v>1</v>
      </c>
      <c r="BR50" s="8">
        <v>3</v>
      </c>
      <c r="BS50" s="8">
        <v>1</v>
      </c>
      <c r="BT50" s="8">
        <v>2</v>
      </c>
      <c r="BU50" s="8">
        <v>2</v>
      </c>
      <c r="BV50" s="8">
        <v>1</v>
      </c>
      <c r="BW50" s="8">
        <v>1</v>
      </c>
      <c r="BX50" s="8">
        <v>1</v>
      </c>
      <c r="BY50" s="8">
        <v>1</v>
      </c>
      <c r="BZ50" s="8">
        <v>1</v>
      </c>
      <c r="CA50" s="8">
        <v>1</v>
      </c>
      <c r="CB50" s="8">
        <v>1</v>
      </c>
      <c r="CC50" s="8">
        <v>1</v>
      </c>
      <c r="CD50" s="8">
        <v>1</v>
      </c>
      <c r="CE50" s="8">
        <v>1</v>
      </c>
      <c r="CF50" s="8">
        <v>1</v>
      </c>
      <c r="CG50" s="8">
        <v>1</v>
      </c>
      <c r="CH50" s="8">
        <v>1</v>
      </c>
      <c r="CI50" s="8">
        <v>1</v>
      </c>
      <c r="CJ50" s="8">
        <v>1</v>
      </c>
      <c r="CK50" s="8">
        <v>1</v>
      </c>
      <c r="CL50" s="8">
        <v>1</v>
      </c>
      <c r="CM50" s="8">
        <v>1</v>
      </c>
      <c r="CN50" s="8">
        <v>1</v>
      </c>
      <c r="CO50" s="8">
        <v>1</v>
      </c>
      <c r="CP50" s="8">
        <v>1</v>
      </c>
      <c r="CQ50" s="8">
        <v>1</v>
      </c>
      <c r="CR50" s="8">
        <v>1</v>
      </c>
      <c r="CS50" s="8">
        <v>1</v>
      </c>
      <c r="CT50" s="8">
        <v>1</v>
      </c>
    </row>
    <row r="51" spans="1:98" ht="15" x14ac:dyDescent="0.25">
      <c r="A51" s="40" t="s">
        <v>216</v>
      </c>
      <c r="B51" s="27">
        <v>82</v>
      </c>
      <c r="C51" s="27">
        <v>80</v>
      </c>
      <c r="D51" s="27">
        <v>80</v>
      </c>
      <c r="E51" s="20">
        <v>80.5</v>
      </c>
      <c r="F51" s="17" t="str">
        <f t="shared" si="3"/>
        <v>PASSED</v>
      </c>
      <c r="G51" s="25">
        <v>1.6465799999999999</v>
      </c>
      <c r="H51" s="18">
        <v>45505</v>
      </c>
      <c r="I51" s="41" t="s">
        <v>103</v>
      </c>
      <c r="J51" s="41" t="s">
        <v>102</v>
      </c>
      <c r="K51" s="28"/>
      <c r="L51" s="41" t="s">
        <v>89</v>
      </c>
      <c r="M51" s="3" t="s">
        <v>149</v>
      </c>
      <c r="N51" s="41" t="s">
        <v>91</v>
      </c>
      <c r="O51" s="28"/>
      <c r="P51" s="41" t="s">
        <v>93</v>
      </c>
      <c r="Q51" s="8" t="s">
        <v>90</v>
      </c>
      <c r="R51" s="8" t="s">
        <v>155</v>
      </c>
      <c r="S51" s="41" t="s">
        <v>91</v>
      </c>
      <c r="T51" s="41" t="s">
        <v>101</v>
      </c>
      <c r="U51" s="28"/>
      <c r="V51" s="41" t="s">
        <v>91</v>
      </c>
      <c r="W51" s="28"/>
      <c r="X51" s="41" t="s">
        <v>91</v>
      </c>
      <c r="Y51" s="28"/>
      <c r="Z51" s="45">
        <v>2</v>
      </c>
      <c r="AA51" s="3">
        <v>1</v>
      </c>
      <c r="AB51" s="3">
        <v>2</v>
      </c>
      <c r="AC51" s="3">
        <v>2</v>
      </c>
      <c r="AD51" s="3">
        <v>1</v>
      </c>
      <c r="AE51" s="3">
        <v>1</v>
      </c>
      <c r="AF51" s="3">
        <v>2</v>
      </c>
      <c r="AG51" s="3">
        <v>1</v>
      </c>
      <c r="AH51" s="3">
        <v>1</v>
      </c>
      <c r="AI51" s="3">
        <v>2</v>
      </c>
      <c r="AJ51" s="3">
        <v>2</v>
      </c>
      <c r="AK51" s="3">
        <v>1</v>
      </c>
      <c r="AL51" s="3">
        <v>1</v>
      </c>
      <c r="AM51" s="3">
        <v>1</v>
      </c>
      <c r="AN51" s="3">
        <v>1</v>
      </c>
      <c r="AO51" s="3">
        <v>1</v>
      </c>
      <c r="AP51" s="3">
        <v>1</v>
      </c>
      <c r="AQ51" s="3">
        <v>1</v>
      </c>
      <c r="AR51" s="3">
        <v>1</v>
      </c>
      <c r="AS51" s="3">
        <v>1</v>
      </c>
      <c r="AT51" s="3">
        <v>1</v>
      </c>
      <c r="AU51" s="3">
        <v>1</v>
      </c>
      <c r="AV51" s="3">
        <v>1</v>
      </c>
      <c r="AW51" s="3">
        <v>1</v>
      </c>
      <c r="AX51" s="3">
        <v>1</v>
      </c>
      <c r="AY51" s="3">
        <v>1</v>
      </c>
      <c r="AZ51" s="3">
        <v>1</v>
      </c>
      <c r="BA51" s="3">
        <v>1</v>
      </c>
      <c r="BB51" s="3">
        <v>1</v>
      </c>
      <c r="BC51" s="3">
        <v>1</v>
      </c>
      <c r="BD51" s="3">
        <v>4</v>
      </c>
      <c r="BE51" s="3">
        <v>1</v>
      </c>
      <c r="BF51" s="3">
        <v>1</v>
      </c>
      <c r="BG51" s="3">
        <v>1</v>
      </c>
      <c r="BH51" s="3">
        <v>1</v>
      </c>
      <c r="BI51" s="3">
        <v>1</v>
      </c>
      <c r="BJ51" s="3">
        <v>1</v>
      </c>
      <c r="BK51" s="3">
        <v>1</v>
      </c>
      <c r="BL51" s="3">
        <v>3</v>
      </c>
      <c r="BM51" s="3">
        <v>1</v>
      </c>
      <c r="BN51" s="3">
        <v>1</v>
      </c>
      <c r="BO51" s="3">
        <v>1</v>
      </c>
      <c r="BP51" s="3">
        <v>1</v>
      </c>
      <c r="BQ51" s="3">
        <v>1</v>
      </c>
      <c r="BR51" s="8">
        <v>1</v>
      </c>
      <c r="BS51" s="8">
        <v>1</v>
      </c>
      <c r="BT51" s="8">
        <v>1</v>
      </c>
      <c r="BU51" s="8">
        <v>1</v>
      </c>
      <c r="BV51" s="8">
        <v>1</v>
      </c>
      <c r="BW51" s="8">
        <v>1</v>
      </c>
      <c r="BX51" s="8">
        <v>1</v>
      </c>
      <c r="BY51" s="8">
        <v>1</v>
      </c>
      <c r="BZ51" s="8">
        <v>1</v>
      </c>
      <c r="CA51" s="8">
        <v>1</v>
      </c>
      <c r="CB51" s="8">
        <v>1</v>
      </c>
      <c r="CC51" s="3">
        <v>2</v>
      </c>
      <c r="CD51" s="3">
        <v>1</v>
      </c>
      <c r="CE51" s="3">
        <v>1</v>
      </c>
      <c r="CF51" s="3">
        <v>1</v>
      </c>
      <c r="CG51" s="8">
        <v>1</v>
      </c>
      <c r="CH51" s="8">
        <v>1</v>
      </c>
      <c r="CI51" s="8">
        <v>1</v>
      </c>
      <c r="CJ51" s="8">
        <v>1</v>
      </c>
      <c r="CK51" s="3">
        <v>1</v>
      </c>
      <c r="CL51" s="3">
        <v>1</v>
      </c>
      <c r="CM51" s="3">
        <v>1</v>
      </c>
      <c r="CN51" s="3">
        <v>3</v>
      </c>
      <c r="CO51" s="3">
        <v>2</v>
      </c>
      <c r="CP51" s="3">
        <v>2</v>
      </c>
      <c r="CQ51" s="3">
        <v>2</v>
      </c>
      <c r="CR51" s="3">
        <v>1</v>
      </c>
      <c r="CS51" s="3">
        <v>1</v>
      </c>
      <c r="CT51" s="8">
        <v>2</v>
      </c>
    </row>
    <row r="52" spans="1:98" ht="15" x14ac:dyDescent="0.25">
      <c r="A52" s="19" t="s">
        <v>213</v>
      </c>
      <c r="B52" s="20">
        <v>60</v>
      </c>
      <c r="C52" s="20">
        <v>46</v>
      </c>
      <c r="D52" s="20">
        <v>48</v>
      </c>
      <c r="E52" s="20">
        <v>50.4</v>
      </c>
      <c r="F52" s="17" t="s">
        <v>166</v>
      </c>
      <c r="G52" s="25">
        <v>2.75196</v>
      </c>
      <c r="H52" s="18">
        <v>45505</v>
      </c>
      <c r="I52" s="22" t="s">
        <v>103</v>
      </c>
      <c r="J52" s="22" t="s">
        <v>89</v>
      </c>
      <c r="K52" s="8" t="s">
        <v>116</v>
      </c>
      <c r="L52" s="22" t="s">
        <v>89</v>
      </c>
      <c r="M52" s="3" t="s">
        <v>142</v>
      </c>
      <c r="N52" s="22" t="s">
        <v>90</v>
      </c>
      <c r="O52" s="12"/>
      <c r="P52" s="22" t="s">
        <v>112</v>
      </c>
      <c r="Q52" s="11" t="s">
        <v>90</v>
      </c>
      <c r="R52" s="11" t="s">
        <v>100</v>
      </c>
      <c r="S52" s="43" t="s">
        <v>90</v>
      </c>
      <c r="T52" s="43" t="s">
        <v>101</v>
      </c>
      <c r="U52" s="43" t="s">
        <v>211</v>
      </c>
      <c r="V52" s="43" t="s">
        <v>91</v>
      </c>
      <c r="W52" s="44"/>
      <c r="X52" s="31" t="s">
        <v>90</v>
      </c>
      <c r="Y52" s="8" t="s">
        <v>124</v>
      </c>
      <c r="Z52" s="45">
        <v>2</v>
      </c>
      <c r="AA52" s="3">
        <v>3</v>
      </c>
      <c r="AB52" s="3">
        <v>1</v>
      </c>
      <c r="AC52" s="3">
        <v>2</v>
      </c>
      <c r="AD52" s="3">
        <v>1</v>
      </c>
      <c r="AE52" s="3">
        <v>1</v>
      </c>
      <c r="AF52" s="3">
        <v>2</v>
      </c>
      <c r="AG52" s="3">
        <v>1</v>
      </c>
      <c r="AH52" s="3">
        <v>1</v>
      </c>
      <c r="AI52" s="3">
        <v>2</v>
      </c>
      <c r="AJ52" s="3">
        <v>2</v>
      </c>
      <c r="AK52" s="3">
        <v>2</v>
      </c>
      <c r="AL52" s="3">
        <v>1</v>
      </c>
      <c r="AM52" s="3">
        <v>1</v>
      </c>
      <c r="AN52" s="3">
        <v>1</v>
      </c>
      <c r="AO52" s="3">
        <v>1</v>
      </c>
      <c r="AP52" s="3">
        <v>1</v>
      </c>
      <c r="AQ52" s="3">
        <v>1</v>
      </c>
      <c r="AR52" s="3">
        <v>1</v>
      </c>
      <c r="AS52" s="3">
        <v>1</v>
      </c>
      <c r="AT52" s="3">
        <v>1</v>
      </c>
      <c r="AU52" s="3">
        <v>1</v>
      </c>
      <c r="AV52" s="3">
        <v>1</v>
      </c>
      <c r="AW52" s="3">
        <v>1</v>
      </c>
      <c r="AX52" s="3">
        <v>1</v>
      </c>
      <c r="AY52" s="3">
        <v>1</v>
      </c>
      <c r="AZ52" s="3">
        <v>1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>
        <v>1</v>
      </c>
      <c r="BI52" s="3">
        <v>1</v>
      </c>
      <c r="BJ52" s="3">
        <v>1</v>
      </c>
      <c r="BK52" s="3">
        <v>1</v>
      </c>
      <c r="BL52" s="3">
        <v>2</v>
      </c>
      <c r="BM52" s="3">
        <v>1</v>
      </c>
      <c r="BN52" s="3">
        <v>1</v>
      </c>
      <c r="BO52" s="3">
        <v>1</v>
      </c>
      <c r="BP52" s="3">
        <v>3</v>
      </c>
      <c r="BQ52" s="3">
        <v>1</v>
      </c>
      <c r="BR52" s="3">
        <v>1</v>
      </c>
      <c r="BS52" s="3">
        <v>1</v>
      </c>
      <c r="BT52" s="3">
        <v>1</v>
      </c>
      <c r="BU52" s="3">
        <v>1</v>
      </c>
      <c r="BV52" s="3">
        <v>1</v>
      </c>
      <c r="BW52" s="3">
        <v>1</v>
      </c>
      <c r="BX52" s="3">
        <v>1</v>
      </c>
      <c r="BY52" s="3">
        <v>1</v>
      </c>
      <c r="BZ52" s="3">
        <v>4</v>
      </c>
      <c r="CA52" s="3">
        <v>2</v>
      </c>
      <c r="CB52" s="3">
        <v>1</v>
      </c>
      <c r="CC52" s="3">
        <v>2</v>
      </c>
      <c r="CD52" s="3">
        <v>2</v>
      </c>
      <c r="CE52" s="3">
        <v>3</v>
      </c>
      <c r="CF52" s="3">
        <v>1</v>
      </c>
      <c r="CG52" s="3">
        <v>2</v>
      </c>
      <c r="CH52" s="3">
        <v>2</v>
      </c>
      <c r="CI52" s="3">
        <v>3</v>
      </c>
      <c r="CJ52" s="3">
        <v>2</v>
      </c>
      <c r="CK52" s="3">
        <v>4</v>
      </c>
      <c r="CL52" s="3">
        <v>2</v>
      </c>
      <c r="CM52" s="3">
        <v>3</v>
      </c>
      <c r="CN52" s="3">
        <v>3</v>
      </c>
      <c r="CO52" s="3">
        <v>3</v>
      </c>
      <c r="CP52" s="3">
        <v>3</v>
      </c>
      <c r="CQ52" s="3">
        <v>3</v>
      </c>
      <c r="CR52" s="3">
        <v>2</v>
      </c>
      <c r="CS52" s="3">
        <v>2</v>
      </c>
      <c r="CT52" s="8">
        <v>2</v>
      </c>
    </row>
    <row r="53" spans="1:98" ht="15" x14ac:dyDescent="0.25">
      <c r="A53" s="51" t="s">
        <v>200</v>
      </c>
      <c r="B53" s="52">
        <v>69</v>
      </c>
      <c r="C53" s="52">
        <v>67</v>
      </c>
      <c r="D53" s="52">
        <v>55</v>
      </c>
      <c r="E53" s="52">
        <v>62.1</v>
      </c>
      <c r="F53" s="17" t="s">
        <v>166</v>
      </c>
      <c r="G53" s="25">
        <v>2.1426599999999998</v>
      </c>
      <c r="H53" s="18">
        <v>45505</v>
      </c>
      <c r="I53" s="22" t="s">
        <v>103</v>
      </c>
      <c r="J53" s="22" t="s">
        <v>102</v>
      </c>
      <c r="K53" s="12"/>
      <c r="L53" s="22" t="s">
        <v>89</v>
      </c>
      <c r="M53" s="3" t="s">
        <v>146</v>
      </c>
      <c r="N53" s="22" t="s">
        <v>91</v>
      </c>
      <c r="O53" s="12"/>
      <c r="P53" s="22" t="s">
        <v>99</v>
      </c>
      <c r="Q53" s="8" t="s">
        <v>91</v>
      </c>
      <c r="R53" s="38"/>
      <c r="S53" s="41" t="s">
        <v>91</v>
      </c>
      <c r="T53" s="41" t="s">
        <v>160</v>
      </c>
      <c r="U53" s="28"/>
      <c r="V53" s="41" t="s">
        <v>91</v>
      </c>
      <c r="W53" s="28"/>
      <c r="X53" s="41" t="s">
        <v>90</v>
      </c>
      <c r="Y53" s="8" t="s">
        <v>124</v>
      </c>
      <c r="Z53" s="48">
        <v>1</v>
      </c>
      <c r="AA53" s="1">
        <v>3</v>
      </c>
      <c r="AB53" s="1">
        <v>2</v>
      </c>
      <c r="AC53" s="1">
        <v>1</v>
      </c>
      <c r="AD53" s="1">
        <v>1</v>
      </c>
      <c r="AE53" s="1">
        <v>1</v>
      </c>
      <c r="AF53" s="1">
        <v>1</v>
      </c>
      <c r="AG53" s="1">
        <v>1</v>
      </c>
      <c r="AH53" s="1">
        <v>1</v>
      </c>
      <c r="AI53" s="1">
        <v>1</v>
      </c>
      <c r="AJ53" s="1">
        <v>2</v>
      </c>
      <c r="AK53" s="1">
        <v>1</v>
      </c>
      <c r="AL53" s="1">
        <v>2</v>
      </c>
      <c r="AM53" s="1">
        <v>2</v>
      </c>
      <c r="AN53" s="1">
        <v>2</v>
      </c>
      <c r="AO53" s="1">
        <v>2</v>
      </c>
      <c r="AP53" s="1">
        <v>2</v>
      </c>
      <c r="AQ53" s="1">
        <v>2</v>
      </c>
      <c r="AR53" s="1">
        <v>2</v>
      </c>
      <c r="AS53" s="1">
        <v>2</v>
      </c>
      <c r="AT53" s="1">
        <v>2</v>
      </c>
      <c r="AU53" s="1">
        <v>2</v>
      </c>
      <c r="AV53" s="1">
        <v>2</v>
      </c>
      <c r="AW53" s="1">
        <v>2</v>
      </c>
      <c r="AX53" s="1">
        <v>2</v>
      </c>
      <c r="AY53" s="1">
        <v>2</v>
      </c>
      <c r="AZ53" s="1">
        <v>2</v>
      </c>
      <c r="BA53" s="1">
        <v>2</v>
      </c>
      <c r="BB53" s="1">
        <v>2</v>
      </c>
      <c r="BC53" s="1">
        <v>2</v>
      </c>
      <c r="BD53" s="1">
        <v>2</v>
      </c>
      <c r="BE53" s="1">
        <v>4</v>
      </c>
      <c r="BF53" s="1">
        <v>2</v>
      </c>
      <c r="BG53" s="1">
        <v>2</v>
      </c>
      <c r="BH53" s="1">
        <v>2</v>
      </c>
      <c r="BI53" s="1">
        <v>2</v>
      </c>
      <c r="BJ53" s="1">
        <v>2</v>
      </c>
      <c r="BK53" s="1">
        <v>2</v>
      </c>
      <c r="BL53" s="1">
        <v>2</v>
      </c>
      <c r="BM53" s="1">
        <v>2</v>
      </c>
      <c r="BN53" s="1">
        <v>2</v>
      </c>
      <c r="BO53" s="1">
        <v>2</v>
      </c>
      <c r="BP53" s="1">
        <v>2</v>
      </c>
      <c r="BQ53" s="1">
        <v>2</v>
      </c>
      <c r="BR53" s="1">
        <v>2</v>
      </c>
      <c r="BS53" s="1">
        <v>2</v>
      </c>
      <c r="BT53" s="1">
        <v>3</v>
      </c>
      <c r="BU53" s="1">
        <v>2</v>
      </c>
      <c r="BV53" s="1">
        <v>2</v>
      </c>
      <c r="BW53" s="1">
        <v>2</v>
      </c>
      <c r="BX53" s="1">
        <v>2</v>
      </c>
      <c r="BY53" s="1">
        <v>2</v>
      </c>
      <c r="BZ53" s="1">
        <v>3</v>
      </c>
      <c r="CA53" s="1">
        <v>3</v>
      </c>
      <c r="CB53" s="1">
        <v>2</v>
      </c>
      <c r="CC53" s="1">
        <v>2</v>
      </c>
      <c r="CD53" s="1">
        <v>3</v>
      </c>
      <c r="CE53" s="1">
        <v>3</v>
      </c>
      <c r="CF53" s="1">
        <v>2</v>
      </c>
      <c r="CG53" s="1">
        <v>3</v>
      </c>
      <c r="CH53" s="1">
        <v>2</v>
      </c>
      <c r="CI53" s="1">
        <v>2</v>
      </c>
      <c r="CJ53" s="1">
        <v>2</v>
      </c>
      <c r="CK53" s="1">
        <v>2</v>
      </c>
      <c r="CL53" s="1">
        <v>3</v>
      </c>
      <c r="CM53" s="1">
        <v>3</v>
      </c>
      <c r="CN53" s="1">
        <v>2</v>
      </c>
      <c r="CO53" s="1">
        <v>2</v>
      </c>
      <c r="CP53" s="1">
        <v>3</v>
      </c>
      <c r="CQ53" s="1">
        <v>2</v>
      </c>
      <c r="CR53" s="1">
        <v>3</v>
      </c>
      <c r="CS53" s="1">
        <v>3</v>
      </c>
      <c r="CT53" s="7">
        <v>2</v>
      </c>
    </row>
    <row r="54" spans="1:98" ht="15" x14ac:dyDescent="0.25">
      <c r="A54" s="40" t="s">
        <v>217</v>
      </c>
      <c r="B54" s="27">
        <v>75</v>
      </c>
      <c r="C54" s="27">
        <v>69</v>
      </c>
      <c r="D54" s="27">
        <v>59</v>
      </c>
      <c r="E54" s="20">
        <v>66</v>
      </c>
      <c r="F54" s="17" t="s">
        <v>166</v>
      </c>
      <c r="G54" s="25">
        <v>2.03728</v>
      </c>
      <c r="H54" s="18">
        <v>45505</v>
      </c>
      <c r="I54" s="22" t="s">
        <v>115</v>
      </c>
      <c r="J54" s="22" t="s">
        <v>102</v>
      </c>
      <c r="K54" s="12"/>
      <c r="L54" s="22" t="s">
        <v>89</v>
      </c>
      <c r="M54" s="3" t="s">
        <v>146</v>
      </c>
      <c r="N54" s="22" t="s">
        <v>90</v>
      </c>
      <c r="O54" s="22" t="s">
        <v>163</v>
      </c>
      <c r="P54" s="22" t="s">
        <v>112</v>
      </c>
      <c r="Q54" s="3" t="s">
        <v>91</v>
      </c>
      <c r="R54" s="5"/>
      <c r="S54" s="43" t="s">
        <v>90</v>
      </c>
      <c r="T54" s="43" t="s">
        <v>160</v>
      </c>
      <c r="U54" s="44"/>
      <c r="V54" s="43" t="s">
        <v>90</v>
      </c>
      <c r="W54" s="8" t="s">
        <v>94</v>
      </c>
      <c r="X54" s="41" t="s">
        <v>90</v>
      </c>
      <c r="Y54" s="3" t="s">
        <v>95</v>
      </c>
      <c r="Z54" s="48">
        <v>1</v>
      </c>
      <c r="AA54" s="1">
        <v>3</v>
      </c>
      <c r="AB54" s="1">
        <v>3</v>
      </c>
      <c r="AC54" s="1">
        <v>2</v>
      </c>
      <c r="AD54" s="1">
        <v>2</v>
      </c>
      <c r="AE54" s="1">
        <v>1</v>
      </c>
      <c r="AF54" s="1">
        <v>2</v>
      </c>
      <c r="AG54" s="1">
        <v>1</v>
      </c>
      <c r="AH54" s="1">
        <v>1</v>
      </c>
      <c r="AI54" s="1">
        <v>1</v>
      </c>
      <c r="AJ54" s="1">
        <v>1</v>
      </c>
      <c r="AK54" s="1">
        <v>1</v>
      </c>
      <c r="AL54" s="1">
        <v>1</v>
      </c>
      <c r="AM54" s="1">
        <v>1</v>
      </c>
      <c r="AN54" s="1">
        <v>1</v>
      </c>
      <c r="AO54" s="1">
        <v>1</v>
      </c>
      <c r="AP54" s="1">
        <v>1</v>
      </c>
      <c r="AQ54" s="1">
        <v>1</v>
      </c>
      <c r="AR54" s="1">
        <v>1</v>
      </c>
      <c r="AS54" s="1">
        <v>1</v>
      </c>
      <c r="AT54" s="1">
        <v>1</v>
      </c>
      <c r="AU54" s="1">
        <v>1</v>
      </c>
      <c r="AV54" s="1">
        <v>1</v>
      </c>
      <c r="AW54" s="1">
        <v>1</v>
      </c>
      <c r="AX54" s="1">
        <v>1</v>
      </c>
      <c r="AY54" s="1">
        <v>1</v>
      </c>
      <c r="AZ54" s="1">
        <v>1</v>
      </c>
      <c r="BA54" s="1">
        <v>1</v>
      </c>
      <c r="BB54" s="1">
        <v>1</v>
      </c>
      <c r="BC54" s="1">
        <v>1</v>
      </c>
      <c r="BD54" s="1">
        <v>1</v>
      </c>
      <c r="BE54" s="1">
        <v>1</v>
      </c>
      <c r="BF54" s="1">
        <v>1</v>
      </c>
      <c r="BG54" s="1">
        <v>1</v>
      </c>
      <c r="BH54" s="1">
        <v>1</v>
      </c>
      <c r="BI54" s="1">
        <v>1</v>
      </c>
      <c r="BJ54" s="1">
        <v>1</v>
      </c>
      <c r="BK54" s="1">
        <v>2</v>
      </c>
      <c r="BL54" s="1">
        <v>3</v>
      </c>
      <c r="BM54" s="1">
        <v>1</v>
      </c>
      <c r="BN54" s="1">
        <v>1</v>
      </c>
      <c r="BO54" s="1">
        <v>1</v>
      </c>
      <c r="BP54" s="1">
        <v>1</v>
      </c>
      <c r="BQ54" s="1">
        <v>1</v>
      </c>
      <c r="BR54" s="1">
        <v>1</v>
      </c>
      <c r="BS54" s="1">
        <v>1</v>
      </c>
      <c r="BT54" s="1">
        <v>1</v>
      </c>
      <c r="BU54" s="1">
        <v>1</v>
      </c>
      <c r="BV54" s="1">
        <v>1</v>
      </c>
      <c r="BW54" s="1">
        <v>1</v>
      </c>
      <c r="BX54" s="1">
        <v>1</v>
      </c>
      <c r="BY54" s="1">
        <v>1</v>
      </c>
      <c r="BZ54" s="1">
        <v>3</v>
      </c>
      <c r="CA54" s="1">
        <v>3</v>
      </c>
      <c r="CB54" s="1">
        <v>3</v>
      </c>
      <c r="CC54" s="1">
        <v>3</v>
      </c>
      <c r="CD54" s="1">
        <v>2</v>
      </c>
      <c r="CE54" s="1">
        <v>2</v>
      </c>
      <c r="CF54" s="1">
        <v>2</v>
      </c>
      <c r="CG54" s="1">
        <v>3</v>
      </c>
      <c r="CH54" s="1">
        <v>4</v>
      </c>
      <c r="CI54" s="1">
        <v>3</v>
      </c>
      <c r="CJ54" s="1">
        <v>2</v>
      </c>
      <c r="CK54" s="1">
        <v>1</v>
      </c>
      <c r="CL54" s="1">
        <v>2</v>
      </c>
      <c r="CM54" s="1">
        <v>3</v>
      </c>
      <c r="CN54" s="1">
        <v>2</v>
      </c>
      <c r="CO54" s="1">
        <v>3</v>
      </c>
      <c r="CP54" s="1">
        <v>3</v>
      </c>
      <c r="CQ54" s="1">
        <v>3</v>
      </c>
      <c r="CR54" s="1">
        <v>2</v>
      </c>
      <c r="CS54" s="1">
        <v>2</v>
      </c>
      <c r="CT54" s="1">
        <v>2</v>
      </c>
    </row>
    <row r="55" spans="1:98" ht="15" x14ac:dyDescent="0.25">
      <c r="A55" s="53" t="s">
        <v>170</v>
      </c>
      <c r="B55" s="54">
        <v>71</v>
      </c>
      <c r="C55" s="54">
        <v>71</v>
      </c>
      <c r="D55" s="54">
        <v>53</v>
      </c>
      <c r="E55" s="52">
        <v>62.9</v>
      </c>
      <c r="F55" s="17" t="s">
        <v>166</v>
      </c>
      <c r="G55" s="25">
        <v>1.9319</v>
      </c>
      <c r="H55" s="18">
        <v>45748</v>
      </c>
      <c r="I55" s="22" t="s">
        <v>115</v>
      </c>
      <c r="J55" s="22" t="s">
        <v>102</v>
      </c>
      <c r="K55" s="12"/>
      <c r="L55" s="22" t="s">
        <v>102</v>
      </c>
      <c r="M55" s="12"/>
      <c r="N55" s="22" t="s">
        <v>90</v>
      </c>
      <c r="O55" s="22" t="s">
        <v>218</v>
      </c>
      <c r="P55" s="22" t="s">
        <v>99</v>
      </c>
      <c r="Q55" s="8" t="s">
        <v>91</v>
      </c>
      <c r="R55" s="38"/>
      <c r="S55" s="41" t="s">
        <v>90</v>
      </c>
      <c r="T55" s="41" t="s">
        <v>101</v>
      </c>
      <c r="U55" s="41" t="s">
        <v>211</v>
      </c>
      <c r="V55" s="41" t="s">
        <v>91</v>
      </c>
      <c r="W55" s="28"/>
      <c r="X55" s="41" t="s">
        <v>90</v>
      </c>
      <c r="Y55" s="8" t="s">
        <v>124</v>
      </c>
      <c r="Z55" s="48">
        <v>3</v>
      </c>
      <c r="AA55" s="1">
        <v>1</v>
      </c>
      <c r="AB55" s="1">
        <v>2</v>
      </c>
      <c r="AC55" s="1">
        <v>2</v>
      </c>
      <c r="AD55" s="1">
        <v>3</v>
      </c>
      <c r="AE55" s="1">
        <v>2</v>
      </c>
      <c r="AF55" s="1">
        <v>2</v>
      </c>
      <c r="AG55" s="1">
        <v>2</v>
      </c>
      <c r="AH55" s="1">
        <v>2</v>
      </c>
      <c r="AI55" s="1">
        <v>2</v>
      </c>
      <c r="AJ55" s="1">
        <v>2</v>
      </c>
      <c r="AK55" s="1">
        <v>2</v>
      </c>
      <c r="AL55" s="1">
        <v>1</v>
      </c>
      <c r="AM55" s="1">
        <v>1</v>
      </c>
      <c r="AN55" s="1">
        <v>1</v>
      </c>
      <c r="AO55" s="1">
        <v>1</v>
      </c>
      <c r="AP55" s="1">
        <v>1</v>
      </c>
      <c r="AQ55" s="1">
        <v>1</v>
      </c>
      <c r="AR55" s="1">
        <v>1</v>
      </c>
      <c r="AS55" s="1">
        <v>1</v>
      </c>
      <c r="AT55" s="1">
        <v>1</v>
      </c>
      <c r="AU55" s="1">
        <v>1</v>
      </c>
      <c r="AV55" s="1">
        <v>1</v>
      </c>
      <c r="AW55" s="1">
        <v>1</v>
      </c>
      <c r="AX55" s="1">
        <v>4</v>
      </c>
      <c r="AY55" s="1">
        <v>1</v>
      </c>
      <c r="AZ55" s="1">
        <v>1</v>
      </c>
      <c r="BA55" s="1">
        <v>1</v>
      </c>
      <c r="BB55" s="1">
        <v>1</v>
      </c>
      <c r="BC55" s="1">
        <v>1</v>
      </c>
      <c r="BD55" s="1">
        <v>1</v>
      </c>
      <c r="BE55" s="1">
        <v>1</v>
      </c>
      <c r="BF55" s="1">
        <v>1</v>
      </c>
      <c r="BG55" s="1">
        <v>1</v>
      </c>
      <c r="BH55" s="1">
        <v>1</v>
      </c>
      <c r="BI55" s="1">
        <v>1</v>
      </c>
      <c r="BJ55" s="1">
        <v>1</v>
      </c>
      <c r="BK55" s="1">
        <v>1</v>
      </c>
      <c r="BL55" s="1">
        <v>2</v>
      </c>
      <c r="BM55" s="1">
        <v>4</v>
      </c>
      <c r="BN55" s="1">
        <v>1</v>
      </c>
      <c r="BO55" s="1">
        <v>1</v>
      </c>
      <c r="BP55" s="1">
        <v>1</v>
      </c>
      <c r="BQ55" s="1">
        <v>1</v>
      </c>
      <c r="BR55" s="1">
        <v>2</v>
      </c>
      <c r="BS55" s="1">
        <v>2</v>
      </c>
      <c r="BT55" s="1">
        <v>1</v>
      </c>
      <c r="BU55" s="1">
        <v>2</v>
      </c>
      <c r="BV55" s="1">
        <v>1</v>
      </c>
      <c r="BW55" s="1">
        <v>1</v>
      </c>
      <c r="BX55" s="1">
        <v>1</v>
      </c>
      <c r="BY55" s="1">
        <v>1</v>
      </c>
      <c r="BZ55" s="1">
        <v>3</v>
      </c>
      <c r="CA55" s="1">
        <v>4</v>
      </c>
      <c r="CB55" s="1">
        <v>3</v>
      </c>
      <c r="CC55" s="1">
        <v>3</v>
      </c>
      <c r="CD55" s="1">
        <v>3</v>
      </c>
      <c r="CE55" s="1">
        <v>2</v>
      </c>
      <c r="CF55" s="1">
        <v>2</v>
      </c>
      <c r="CG55" s="1">
        <v>3</v>
      </c>
      <c r="CH55" s="1">
        <v>3</v>
      </c>
      <c r="CI55" s="1">
        <v>3</v>
      </c>
      <c r="CJ55" s="1">
        <v>2</v>
      </c>
      <c r="CK55" s="1">
        <v>1</v>
      </c>
      <c r="CL55" s="1">
        <v>2</v>
      </c>
      <c r="CM55" s="1">
        <v>2</v>
      </c>
      <c r="CN55" s="1">
        <v>2</v>
      </c>
      <c r="CO55" s="1">
        <v>3</v>
      </c>
      <c r="CP55" s="1">
        <v>2</v>
      </c>
      <c r="CQ55" s="1">
        <v>3</v>
      </c>
      <c r="CR55" s="1">
        <v>2</v>
      </c>
      <c r="CS55" s="1">
        <v>2</v>
      </c>
      <c r="CT55" s="3">
        <v>1</v>
      </c>
    </row>
    <row r="56" spans="1:98" ht="15" x14ac:dyDescent="0.25">
      <c r="A56" s="40" t="s">
        <v>199</v>
      </c>
      <c r="B56" s="27">
        <v>70</v>
      </c>
      <c r="C56" s="27">
        <v>70</v>
      </c>
      <c r="D56" s="27">
        <v>70</v>
      </c>
      <c r="E56" s="20">
        <v>67.849999999999994</v>
      </c>
      <c r="F56" s="17" t="s">
        <v>166</v>
      </c>
      <c r="G56" s="25">
        <v>2.1652</v>
      </c>
      <c r="H56" s="18">
        <v>45748</v>
      </c>
      <c r="I56" s="22" t="s">
        <v>103</v>
      </c>
      <c r="J56" s="22" t="s">
        <v>102</v>
      </c>
      <c r="K56" s="12"/>
      <c r="L56" s="22" t="s">
        <v>102</v>
      </c>
      <c r="M56" s="12"/>
      <c r="N56" s="22" t="s">
        <v>91</v>
      </c>
      <c r="O56" s="12"/>
      <c r="P56" s="22" t="s">
        <v>99</v>
      </c>
      <c r="Q56" s="3" t="s">
        <v>91</v>
      </c>
      <c r="R56" s="5"/>
      <c r="S56" s="43" t="s">
        <v>90</v>
      </c>
      <c r="T56" s="43" t="s">
        <v>160</v>
      </c>
      <c r="U56" s="43" t="s">
        <v>211</v>
      </c>
      <c r="V56" s="43" t="s">
        <v>90</v>
      </c>
      <c r="W56" s="3" t="s">
        <v>114</v>
      </c>
      <c r="X56" s="31" t="s">
        <v>90</v>
      </c>
      <c r="Y56" s="8" t="s">
        <v>108</v>
      </c>
      <c r="Z56" s="48">
        <v>1</v>
      </c>
      <c r="AA56" s="1">
        <v>2</v>
      </c>
      <c r="AB56" s="1">
        <v>3</v>
      </c>
      <c r="AC56" s="1">
        <v>2</v>
      </c>
      <c r="AD56" s="1">
        <v>2</v>
      </c>
      <c r="AE56" s="1">
        <v>2</v>
      </c>
      <c r="AF56" s="1">
        <v>2</v>
      </c>
      <c r="AG56" s="1">
        <v>2</v>
      </c>
      <c r="AH56" s="1">
        <v>2</v>
      </c>
      <c r="AI56" s="1">
        <v>2</v>
      </c>
      <c r="AJ56" s="1">
        <v>2</v>
      </c>
      <c r="AK56" s="1">
        <v>3</v>
      </c>
      <c r="AL56" s="1">
        <v>1</v>
      </c>
      <c r="AM56" s="1">
        <v>1</v>
      </c>
      <c r="AN56" s="1">
        <v>1</v>
      </c>
      <c r="AO56" s="1">
        <v>1</v>
      </c>
      <c r="AP56" s="1">
        <v>1</v>
      </c>
      <c r="AQ56" s="1">
        <v>1</v>
      </c>
      <c r="AR56" s="1">
        <v>1</v>
      </c>
      <c r="AS56" s="1">
        <v>1</v>
      </c>
      <c r="AT56" s="1">
        <v>1</v>
      </c>
      <c r="AU56" s="1">
        <v>1</v>
      </c>
      <c r="AV56" s="1">
        <v>1</v>
      </c>
      <c r="AW56" s="1">
        <v>1</v>
      </c>
      <c r="AX56" s="1">
        <v>1</v>
      </c>
      <c r="AY56" s="1">
        <v>1</v>
      </c>
      <c r="AZ56" s="1">
        <v>1</v>
      </c>
      <c r="BA56" s="1">
        <v>1</v>
      </c>
      <c r="BB56" s="1">
        <v>4</v>
      </c>
      <c r="BC56" s="1">
        <v>1</v>
      </c>
      <c r="BD56" s="1">
        <v>1</v>
      </c>
      <c r="BE56" s="1">
        <v>1</v>
      </c>
      <c r="BF56" s="1">
        <v>1</v>
      </c>
      <c r="BG56" s="1">
        <v>1</v>
      </c>
      <c r="BH56" s="1">
        <v>1</v>
      </c>
      <c r="BI56" s="1">
        <v>1</v>
      </c>
      <c r="BJ56" s="1">
        <v>1</v>
      </c>
      <c r="BK56" s="1">
        <v>3</v>
      </c>
      <c r="BL56" s="1">
        <v>4</v>
      </c>
      <c r="BM56" s="1">
        <v>3</v>
      </c>
      <c r="BN56" s="1">
        <v>1</v>
      </c>
      <c r="BO56" s="1">
        <v>1</v>
      </c>
      <c r="BP56" s="1">
        <v>1</v>
      </c>
      <c r="BQ56" s="1">
        <v>1</v>
      </c>
      <c r="BR56" s="1">
        <v>3</v>
      </c>
      <c r="BS56" s="1">
        <v>1</v>
      </c>
      <c r="BT56" s="1">
        <v>2</v>
      </c>
      <c r="BU56" s="1">
        <v>1</v>
      </c>
      <c r="BV56" s="1">
        <v>1</v>
      </c>
      <c r="BW56" s="1">
        <v>1</v>
      </c>
      <c r="BX56" s="1">
        <v>1</v>
      </c>
      <c r="BY56" s="1">
        <v>1</v>
      </c>
      <c r="BZ56" s="1">
        <v>3</v>
      </c>
      <c r="CA56" s="1">
        <v>2</v>
      </c>
      <c r="CB56" s="1">
        <v>3</v>
      </c>
      <c r="CC56" s="1">
        <v>3</v>
      </c>
      <c r="CD56" s="1">
        <v>3</v>
      </c>
      <c r="CE56" s="1">
        <v>2</v>
      </c>
      <c r="CF56" s="1">
        <v>3</v>
      </c>
      <c r="CG56" s="1">
        <v>3</v>
      </c>
      <c r="CH56" s="1">
        <v>3</v>
      </c>
      <c r="CI56" s="1">
        <v>3</v>
      </c>
      <c r="CJ56" s="1">
        <v>2</v>
      </c>
      <c r="CK56" s="1">
        <v>1</v>
      </c>
      <c r="CL56" s="1">
        <v>3</v>
      </c>
      <c r="CM56" s="1">
        <v>3</v>
      </c>
      <c r="CN56" s="1">
        <v>3</v>
      </c>
      <c r="CO56" s="1">
        <v>2</v>
      </c>
      <c r="CP56" s="1">
        <v>3</v>
      </c>
      <c r="CQ56" s="1">
        <v>3</v>
      </c>
      <c r="CR56" s="1">
        <v>2</v>
      </c>
      <c r="CS56" s="1">
        <v>3</v>
      </c>
      <c r="CT56" s="7">
        <v>2</v>
      </c>
    </row>
    <row r="57" spans="1:98" ht="15" x14ac:dyDescent="0.25">
      <c r="A57" s="26" t="s">
        <v>201</v>
      </c>
      <c r="B57" s="27">
        <v>75</v>
      </c>
      <c r="C57" s="27">
        <v>73</v>
      </c>
      <c r="D57" s="27">
        <v>72</v>
      </c>
      <c r="E57" s="20">
        <v>73.05</v>
      </c>
      <c r="F57" s="17" t="str">
        <f t="shared" ref="F57:F61" si="4">IF(E57&gt;=70,"PASSED", "---")</f>
        <v>PASSED</v>
      </c>
      <c r="G57" s="25">
        <v>1.921</v>
      </c>
      <c r="H57" s="18">
        <v>45748</v>
      </c>
      <c r="I57" s="1" t="s">
        <v>103</v>
      </c>
      <c r="J57" s="1" t="s">
        <v>102</v>
      </c>
      <c r="K57" s="6"/>
      <c r="L57" s="1" t="s">
        <v>90</v>
      </c>
      <c r="M57" s="1" t="s">
        <v>97</v>
      </c>
      <c r="N57" s="1" t="s">
        <v>91</v>
      </c>
      <c r="O57" s="6"/>
      <c r="P57" s="1" t="s">
        <v>112</v>
      </c>
      <c r="Q57" s="8" t="s">
        <v>91</v>
      </c>
      <c r="R57" s="38"/>
      <c r="S57" s="1" t="s">
        <v>91</v>
      </c>
      <c r="T57" s="2" t="s">
        <v>101</v>
      </c>
      <c r="U57" s="6"/>
      <c r="V57" s="1" t="s">
        <v>90</v>
      </c>
      <c r="W57" s="1" t="s">
        <v>148</v>
      </c>
      <c r="X57" s="1" t="s">
        <v>91</v>
      </c>
      <c r="Y57" s="6"/>
      <c r="Z57" s="1">
        <v>1</v>
      </c>
      <c r="AA57" s="1">
        <v>1</v>
      </c>
      <c r="AB57" s="1">
        <v>2</v>
      </c>
      <c r="AC57" s="1">
        <v>2</v>
      </c>
      <c r="AD57" s="1">
        <v>2</v>
      </c>
      <c r="AE57" s="1">
        <v>1</v>
      </c>
      <c r="AF57" s="1">
        <v>1</v>
      </c>
      <c r="AG57" s="1">
        <v>1</v>
      </c>
      <c r="AH57" s="1">
        <v>1</v>
      </c>
      <c r="AI57" s="1">
        <v>1</v>
      </c>
      <c r="AJ57" s="1">
        <v>1</v>
      </c>
      <c r="AK57" s="1">
        <v>1</v>
      </c>
      <c r="AL57" s="1">
        <v>3</v>
      </c>
      <c r="AM57" s="1">
        <v>1</v>
      </c>
      <c r="AN57" s="1">
        <v>2</v>
      </c>
      <c r="AO57" s="1">
        <v>3</v>
      </c>
      <c r="AP57" s="1">
        <v>3</v>
      </c>
      <c r="AQ57" s="1">
        <v>3</v>
      </c>
      <c r="AR57" s="1">
        <v>1</v>
      </c>
      <c r="AS57" s="1">
        <v>2</v>
      </c>
      <c r="AT57" s="1">
        <v>3</v>
      </c>
      <c r="AU57" s="1">
        <v>2</v>
      </c>
      <c r="AV57" s="1">
        <v>1</v>
      </c>
      <c r="AW57" s="1">
        <v>1</v>
      </c>
      <c r="AX57" s="1">
        <v>1</v>
      </c>
      <c r="AY57" s="1">
        <v>1</v>
      </c>
      <c r="AZ57" s="1">
        <v>1</v>
      </c>
      <c r="BA57" s="1">
        <v>4</v>
      </c>
      <c r="BB57" s="1">
        <v>3</v>
      </c>
      <c r="BC57" s="1">
        <v>3</v>
      </c>
      <c r="BD57" s="1">
        <v>3</v>
      </c>
      <c r="BE57" s="1">
        <v>2</v>
      </c>
      <c r="BF57" s="1">
        <v>1</v>
      </c>
      <c r="BG57" s="1">
        <v>1</v>
      </c>
      <c r="BH57" s="1">
        <v>1</v>
      </c>
      <c r="BI57" s="1">
        <v>2</v>
      </c>
      <c r="BJ57" s="1">
        <v>3</v>
      </c>
      <c r="BK57" s="1">
        <v>3</v>
      </c>
      <c r="BL57" s="1">
        <v>1</v>
      </c>
      <c r="BM57" s="1">
        <v>2</v>
      </c>
      <c r="BN57" s="1">
        <v>1</v>
      </c>
      <c r="BO57" s="1">
        <v>3</v>
      </c>
      <c r="BP57" s="1">
        <v>2</v>
      </c>
      <c r="BQ57" s="1">
        <v>1</v>
      </c>
      <c r="BR57" s="1">
        <v>3</v>
      </c>
      <c r="BS57" s="1">
        <v>2</v>
      </c>
      <c r="BT57" s="1">
        <v>1</v>
      </c>
      <c r="BU57" s="1">
        <v>1</v>
      </c>
      <c r="BV57" s="1">
        <v>1</v>
      </c>
      <c r="BW57" s="1">
        <v>1</v>
      </c>
      <c r="BX57" s="1">
        <v>1</v>
      </c>
      <c r="BY57" s="1">
        <v>1</v>
      </c>
      <c r="BZ57" s="1">
        <v>1</v>
      </c>
      <c r="CA57" s="1">
        <v>1</v>
      </c>
      <c r="CB57" s="1">
        <v>1</v>
      </c>
      <c r="CC57" s="1">
        <v>1</v>
      </c>
      <c r="CD57" s="1">
        <v>1</v>
      </c>
      <c r="CE57" s="1">
        <v>1</v>
      </c>
      <c r="CF57" s="1">
        <v>2</v>
      </c>
      <c r="CG57" s="1">
        <v>2</v>
      </c>
      <c r="CH57" s="1">
        <v>1</v>
      </c>
      <c r="CI57" s="1">
        <v>2</v>
      </c>
      <c r="CJ57" s="1">
        <v>1</v>
      </c>
      <c r="CK57" s="1">
        <v>1</v>
      </c>
      <c r="CL57" s="1">
        <v>1</v>
      </c>
      <c r="CM57" s="1">
        <v>1</v>
      </c>
      <c r="CN57" s="1">
        <v>1</v>
      </c>
      <c r="CO57" s="1">
        <v>1</v>
      </c>
      <c r="CP57" s="1">
        <v>1</v>
      </c>
      <c r="CQ57" s="1">
        <v>1</v>
      </c>
      <c r="CR57" s="1">
        <v>1</v>
      </c>
      <c r="CS57" s="1">
        <v>1</v>
      </c>
      <c r="CT57" s="1">
        <v>1</v>
      </c>
    </row>
    <row r="58" spans="1:98" ht="15" x14ac:dyDescent="0.25">
      <c r="A58" s="40" t="s">
        <v>202</v>
      </c>
      <c r="B58" s="20">
        <v>77</v>
      </c>
      <c r="C58" s="20">
        <v>83</v>
      </c>
      <c r="D58" s="20">
        <v>78</v>
      </c>
      <c r="E58" s="20">
        <v>79.25</v>
      </c>
      <c r="F58" s="17" t="str">
        <f t="shared" si="4"/>
        <v>PASSED</v>
      </c>
      <c r="G58" s="25">
        <v>1.8485</v>
      </c>
      <c r="H58" s="21">
        <v>45748</v>
      </c>
      <c r="I58" s="8" t="s">
        <v>103</v>
      </c>
      <c r="J58" s="8" t="s">
        <v>102</v>
      </c>
      <c r="K58" s="38"/>
      <c r="L58" s="8" t="s">
        <v>91</v>
      </c>
      <c r="M58" s="38"/>
      <c r="N58" s="8" t="s">
        <v>91</v>
      </c>
      <c r="O58" s="38"/>
      <c r="P58" s="8" t="s">
        <v>106</v>
      </c>
      <c r="Q58" s="3" t="s">
        <v>91</v>
      </c>
      <c r="R58" s="5"/>
      <c r="S58" s="8" t="s">
        <v>91</v>
      </c>
      <c r="T58" s="8" t="s">
        <v>101</v>
      </c>
      <c r="U58" s="38"/>
      <c r="V58" s="8" t="s">
        <v>91</v>
      </c>
      <c r="W58" s="38"/>
      <c r="X58" s="8" t="s">
        <v>91</v>
      </c>
      <c r="Y58" s="38"/>
      <c r="Z58" s="8">
        <v>3</v>
      </c>
      <c r="AA58" s="8">
        <v>2</v>
      </c>
      <c r="AB58" s="8">
        <v>3</v>
      </c>
      <c r="AC58" s="8">
        <v>3</v>
      </c>
      <c r="AD58" s="8">
        <v>3</v>
      </c>
      <c r="AE58" s="8">
        <v>2</v>
      </c>
      <c r="AF58" s="8">
        <v>2</v>
      </c>
      <c r="AG58" s="8">
        <v>3</v>
      </c>
      <c r="AH58" s="8">
        <v>3</v>
      </c>
      <c r="AI58" s="8">
        <v>1</v>
      </c>
      <c r="AJ58" s="8">
        <v>3</v>
      </c>
      <c r="AK58" s="8">
        <v>2</v>
      </c>
      <c r="AL58" s="8">
        <v>3</v>
      </c>
      <c r="AM58" s="8">
        <v>2</v>
      </c>
      <c r="AN58" s="8">
        <v>2</v>
      </c>
      <c r="AO58" s="8">
        <v>3</v>
      </c>
      <c r="AP58" s="8">
        <v>3</v>
      </c>
      <c r="AQ58" s="8">
        <v>3</v>
      </c>
      <c r="AR58" s="8">
        <v>3</v>
      </c>
      <c r="AS58" s="8">
        <v>3</v>
      </c>
      <c r="AT58" s="8">
        <v>3</v>
      </c>
      <c r="AU58" s="8">
        <v>3</v>
      </c>
      <c r="AV58" s="8">
        <v>3</v>
      </c>
      <c r="AW58" s="8">
        <v>3</v>
      </c>
      <c r="AX58" s="8">
        <v>1</v>
      </c>
      <c r="AY58" s="8">
        <v>1</v>
      </c>
      <c r="AZ58" s="8">
        <v>2</v>
      </c>
      <c r="BA58" s="8">
        <v>3</v>
      </c>
      <c r="BB58" s="8">
        <v>3</v>
      </c>
      <c r="BC58" s="8">
        <v>3</v>
      </c>
      <c r="BD58" s="8">
        <v>3</v>
      </c>
      <c r="BE58" s="8">
        <v>3</v>
      </c>
      <c r="BF58" s="8">
        <v>3</v>
      </c>
      <c r="BG58" s="8">
        <v>3</v>
      </c>
      <c r="BH58" s="8">
        <v>3</v>
      </c>
      <c r="BI58" s="8">
        <v>3</v>
      </c>
      <c r="BJ58" s="8">
        <v>3</v>
      </c>
      <c r="BK58" s="8">
        <v>3</v>
      </c>
      <c r="BL58" s="8">
        <v>3</v>
      </c>
      <c r="BM58" s="8">
        <v>3</v>
      </c>
      <c r="BN58" s="8">
        <v>1</v>
      </c>
      <c r="BO58" s="8">
        <v>1</v>
      </c>
      <c r="BP58" s="8">
        <v>2</v>
      </c>
      <c r="BQ58" s="8">
        <v>1</v>
      </c>
      <c r="BR58" s="8">
        <v>3</v>
      </c>
      <c r="BS58" s="8">
        <v>3</v>
      </c>
      <c r="BT58" s="8">
        <v>2</v>
      </c>
      <c r="BU58" s="8">
        <v>2</v>
      </c>
      <c r="BV58" s="8">
        <v>3</v>
      </c>
      <c r="BW58" s="8">
        <v>2</v>
      </c>
      <c r="BX58" s="8">
        <v>3</v>
      </c>
      <c r="BY58" s="8">
        <v>3</v>
      </c>
      <c r="BZ58" s="8">
        <v>3</v>
      </c>
      <c r="CA58" s="8">
        <v>2</v>
      </c>
      <c r="CB58" s="8">
        <v>2</v>
      </c>
      <c r="CC58" s="8">
        <v>3</v>
      </c>
      <c r="CD58" s="8">
        <v>2</v>
      </c>
      <c r="CE58" s="8">
        <v>3</v>
      </c>
      <c r="CF58" s="8">
        <v>3</v>
      </c>
      <c r="CG58" s="8">
        <v>3</v>
      </c>
      <c r="CH58" s="8">
        <v>3</v>
      </c>
      <c r="CI58" s="8">
        <v>3</v>
      </c>
      <c r="CJ58" s="8">
        <v>3</v>
      </c>
      <c r="CK58" s="8">
        <v>3</v>
      </c>
      <c r="CL58" s="8">
        <v>3</v>
      </c>
      <c r="CM58" s="8">
        <v>3</v>
      </c>
      <c r="CN58" s="8">
        <v>3</v>
      </c>
      <c r="CO58" s="8">
        <v>3</v>
      </c>
      <c r="CP58" s="8">
        <v>3</v>
      </c>
      <c r="CQ58" s="8">
        <v>2</v>
      </c>
      <c r="CR58" s="8">
        <v>3</v>
      </c>
      <c r="CS58" s="8">
        <v>3</v>
      </c>
      <c r="CT58" s="8">
        <v>3</v>
      </c>
    </row>
    <row r="59" spans="1:98" ht="15" x14ac:dyDescent="0.25">
      <c r="A59" s="19" t="s">
        <v>203</v>
      </c>
      <c r="B59" s="20">
        <v>60</v>
      </c>
      <c r="C59" s="20">
        <v>80</v>
      </c>
      <c r="D59" s="20">
        <v>72</v>
      </c>
      <c r="E59" s="20">
        <v>71.400000000000006</v>
      </c>
      <c r="F59" s="17" t="str">
        <f t="shared" si="4"/>
        <v>PASSED</v>
      </c>
      <c r="G59" s="25">
        <v>2.0118</v>
      </c>
      <c r="H59" s="21">
        <v>45748</v>
      </c>
      <c r="I59" s="3" t="s">
        <v>110</v>
      </c>
      <c r="J59" s="3" t="s">
        <v>89</v>
      </c>
      <c r="K59" s="3" t="s">
        <v>111</v>
      </c>
      <c r="L59" s="3" t="s">
        <v>91</v>
      </c>
      <c r="M59" s="5"/>
      <c r="N59" s="3" t="s">
        <v>91</v>
      </c>
      <c r="O59" s="5"/>
      <c r="P59" s="3" t="s">
        <v>112</v>
      </c>
      <c r="Q59" s="8" t="s">
        <v>91</v>
      </c>
      <c r="R59" s="38"/>
      <c r="S59" s="3" t="s">
        <v>91</v>
      </c>
      <c r="T59" s="3" t="s">
        <v>101</v>
      </c>
      <c r="U59" s="5"/>
      <c r="V59" s="3" t="s">
        <v>90</v>
      </c>
      <c r="W59" s="3" t="s">
        <v>113</v>
      </c>
      <c r="X59" s="3" t="s">
        <v>91</v>
      </c>
      <c r="Y59" s="5"/>
      <c r="Z59" s="3">
        <v>2</v>
      </c>
      <c r="AA59" s="3">
        <v>1</v>
      </c>
      <c r="AB59" s="3">
        <v>1</v>
      </c>
      <c r="AC59" s="3">
        <v>1</v>
      </c>
      <c r="AD59" s="3">
        <v>2</v>
      </c>
      <c r="AE59" s="3">
        <v>1</v>
      </c>
      <c r="AF59" s="3">
        <v>1</v>
      </c>
      <c r="AG59" s="3">
        <v>1</v>
      </c>
      <c r="AH59" s="3">
        <v>1</v>
      </c>
      <c r="AI59" s="3">
        <v>1</v>
      </c>
      <c r="AJ59" s="3">
        <v>1</v>
      </c>
      <c r="AK59" s="3">
        <v>1</v>
      </c>
      <c r="AL59" s="3">
        <v>1</v>
      </c>
      <c r="AM59" s="3">
        <v>2</v>
      </c>
      <c r="AN59" s="3">
        <v>2</v>
      </c>
      <c r="AO59" s="3">
        <v>2</v>
      </c>
      <c r="AP59" s="3">
        <v>1</v>
      </c>
      <c r="AQ59" s="3">
        <v>2</v>
      </c>
      <c r="AR59" s="3">
        <v>2</v>
      </c>
      <c r="AS59" s="3">
        <v>2</v>
      </c>
      <c r="AT59" s="3">
        <v>1</v>
      </c>
      <c r="AU59" s="3">
        <v>1</v>
      </c>
      <c r="AV59" s="3">
        <v>2</v>
      </c>
      <c r="AW59" s="3">
        <v>1</v>
      </c>
      <c r="AX59" s="3">
        <v>1</v>
      </c>
      <c r="AY59" s="3">
        <v>1</v>
      </c>
      <c r="AZ59" s="3">
        <v>1</v>
      </c>
      <c r="BA59" s="3">
        <v>2</v>
      </c>
      <c r="BB59" s="3">
        <v>2</v>
      </c>
      <c r="BC59" s="3">
        <v>3</v>
      </c>
      <c r="BD59" s="3">
        <v>3</v>
      </c>
      <c r="BE59" s="3">
        <v>2</v>
      </c>
      <c r="BF59" s="3">
        <v>2</v>
      </c>
      <c r="BG59" s="3">
        <v>1</v>
      </c>
      <c r="BH59" s="3">
        <v>1</v>
      </c>
      <c r="BI59" s="3">
        <v>1</v>
      </c>
      <c r="BJ59" s="3">
        <v>3</v>
      </c>
      <c r="BK59" s="3">
        <v>2</v>
      </c>
      <c r="BL59" s="3">
        <v>2</v>
      </c>
      <c r="BM59" s="3">
        <v>1</v>
      </c>
      <c r="BN59" s="3">
        <v>2</v>
      </c>
      <c r="BO59" s="3">
        <v>2</v>
      </c>
      <c r="BP59" s="3">
        <v>2</v>
      </c>
      <c r="BQ59" s="3">
        <v>2</v>
      </c>
      <c r="BR59" s="3">
        <v>1</v>
      </c>
      <c r="BS59" s="3">
        <v>1</v>
      </c>
      <c r="BT59" s="3">
        <v>3</v>
      </c>
      <c r="BU59" s="3">
        <v>1</v>
      </c>
      <c r="BV59" s="3">
        <v>1</v>
      </c>
      <c r="BW59" s="3">
        <v>1</v>
      </c>
      <c r="BX59" s="3">
        <v>1</v>
      </c>
      <c r="BY59" s="3">
        <v>1</v>
      </c>
      <c r="BZ59" s="3">
        <v>1</v>
      </c>
      <c r="CA59" s="3">
        <v>1</v>
      </c>
      <c r="CB59" s="3">
        <v>1</v>
      </c>
      <c r="CC59" s="3">
        <v>1</v>
      </c>
      <c r="CD59" s="3">
        <v>1</v>
      </c>
      <c r="CE59" s="3">
        <v>1</v>
      </c>
      <c r="CF59" s="3">
        <v>2</v>
      </c>
      <c r="CG59" s="3">
        <v>2</v>
      </c>
      <c r="CH59" s="3">
        <v>3</v>
      </c>
      <c r="CI59" s="3">
        <v>3</v>
      </c>
      <c r="CJ59" s="3">
        <v>2</v>
      </c>
      <c r="CK59" s="3">
        <v>1</v>
      </c>
      <c r="CL59" s="3">
        <v>1</v>
      </c>
      <c r="CM59" s="3">
        <v>3</v>
      </c>
      <c r="CN59" s="3">
        <v>1</v>
      </c>
      <c r="CO59" s="3">
        <v>1</v>
      </c>
      <c r="CP59" s="3">
        <v>1</v>
      </c>
      <c r="CQ59" s="3">
        <v>1</v>
      </c>
      <c r="CR59" s="3">
        <v>1</v>
      </c>
      <c r="CS59" s="3">
        <v>1</v>
      </c>
      <c r="CT59" s="3">
        <v>1</v>
      </c>
    </row>
    <row r="60" spans="1:98" ht="15" x14ac:dyDescent="0.25">
      <c r="A60" s="19" t="s">
        <v>204</v>
      </c>
      <c r="B60" s="20">
        <v>86</v>
      </c>
      <c r="C60" s="20">
        <v>89</v>
      </c>
      <c r="D60" s="20">
        <v>88</v>
      </c>
      <c r="E60" s="20">
        <v>87.8</v>
      </c>
      <c r="F60" s="17" t="str">
        <f t="shared" si="4"/>
        <v>PASSED</v>
      </c>
      <c r="G60" s="25">
        <v>1.5118</v>
      </c>
      <c r="H60" s="21">
        <v>45748</v>
      </c>
      <c r="I60" s="8" t="s">
        <v>128</v>
      </c>
      <c r="J60" s="8" t="s">
        <v>89</v>
      </c>
      <c r="K60" s="8" t="s">
        <v>119</v>
      </c>
      <c r="L60" s="8" t="s">
        <v>90</v>
      </c>
      <c r="M60" s="8" t="s">
        <v>97</v>
      </c>
      <c r="N60" s="8" t="s">
        <v>91</v>
      </c>
      <c r="O60" s="38"/>
      <c r="P60" s="8" t="s">
        <v>99</v>
      </c>
      <c r="Q60" s="3" t="s">
        <v>91</v>
      </c>
      <c r="R60" s="5"/>
      <c r="S60" s="8" t="s">
        <v>90</v>
      </c>
      <c r="T60" s="8" t="s">
        <v>160</v>
      </c>
      <c r="U60" s="8" t="s">
        <v>121</v>
      </c>
      <c r="V60" s="8" t="s">
        <v>90</v>
      </c>
      <c r="W60" s="8" t="s">
        <v>94</v>
      </c>
      <c r="X60" s="8" t="s">
        <v>91</v>
      </c>
      <c r="Y60" s="38"/>
      <c r="Z60" s="8">
        <v>2</v>
      </c>
      <c r="AA60" s="8">
        <v>2</v>
      </c>
      <c r="AB60" s="8">
        <v>1</v>
      </c>
      <c r="AC60" s="8">
        <v>2</v>
      </c>
      <c r="AD60" s="8">
        <v>3</v>
      </c>
      <c r="AE60" s="8">
        <v>2</v>
      </c>
      <c r="AF60" s="8">
        <v>2</v>
      </c>
      <c r="AG60" s="8">
        <v>1</v>
      </c>
      <c r="AH60" s="8">
        <v>2</v>
      </c>
      <c r="AI60" s="8">
        <v>2</v>
      </c>
      <c r="AJ60" s="8">
        <v>3</v>
      </c>
      <c r="AK60" s="8">
        <v>2</v>
      </c>
      <c r="AL60" s="8">
        <v>3</v>
      </c>
      <c r="AM60" s="8">
        <v>3</v>
      </c>
      <c r="AN60" s="8">
        <v>1</v>
      </c>
      <c r="AO60" s="8">
        <v>2</v>
      </c>
      <c r="AP60" s="8">
        <v>3</v>
      </c>
      <c r="AQ60" s="8">
        <v>3</v>
      </c>
      <c r="AR60" s="8">
        <v>3</v>
      </c>
      <c r="AS60" s="8">
        <v>3</v>
      </c>
      <c r="AT60" s="8">
        <v>2</v>
      </c>
      <c r="AU60" s="8">
        <v>2</v>
      </c>
      <c r="AV60" s="8">
        <v>2</v>
      </c>
      <c r="AW60" s="8">
        <v>2</v>
      </c>
      <c r="AX60" s="8">
        <v>1</v>
      </c>
      <c r="AY60" s="8">
        <v>2</v>
      </c>
      <c r="AZ60" s="8">
        <v>1</v>
      </c>
      <c r="BA60" s="8">
        <v>3</v>
      </c>
      <c r="BB60" s="8">
        <v>3</v>
      </c>
      <c r="BC60" s="8">
        <v>1</v>
      </c>
      <c r="BD60" s="8">
        <v>3</v>
      </c>
      <c r="BE60" s="8">
        <v>2</v>
      </c>
      <c r="BF60" s="8">
        <v>2</v>
      </c>
      <c r="BG60" s="8">
        <v>3</v>
      </c>
      <c r="BH60" s="8">
        <v>2</v>
      </c>
      <c r="BI60" s="8">
        <v>2</v>
      </c>
      <c r="BJ60" s="8">
        <v>2</v>
      </c>
      <c r="BK60" s="8">
        <v>1</v>
      </c>
      <c r="BL60" s="8">
        <v>3</v>
      </c>
      <c r="BM60" s="8">
        <v>3</v>
      </c>
      <c r="BN60" s="8">
        <v>1</v>
      </c>
      <c r="BO60" s="8">
        <v>1</v>
      </c>
      <c r="BP60" s="8">
        <v>1</v>
      </c>
      <c r="BQ60" s="8">
        <v>2</v>
      </c>
      <c r="BR60" s="8">
        <v>4</v>
      </c>
      <c r="BS60" s="8">
        <v>2</v>
      </c>
      <c r="BT60" s="8">
        <v>2</v>
      </c>
      <c r="BU60" s="8">
        <v>2</v>
      </c>
      <c r="BV60" s="8">
        <v>2</v>
      </c>
      <c r="BW60" s="8">
        <v>2</v>
      </c>
      <c r="BX60" s="8">
        <v>2</v>
      </c>
      <c r="BY60" s="8">
        <v>2</v>
      </c>
      <c r="BZ60" s="8">
        <v>2</v>
      </c>
      <c r="CA60" s="8">
        <v>1</v>
      </c>
      <c r="CB60" s="8">
        <v>1</v>
      </c>
      <c r="CC60" s="8">
        <v>1</v>
      </c>
      <c r="CD60" s="8">
        <v>1</v>
      </c>
      <c r="CE60" s="8">
        <v>1</v>
      </c>
      <c r="CF60" s="8">
        <v>2</v>
      </c>
      <c r="CG60" s="8">
        <v>2</v>
      </c>
      <c r="CH60" s="8">
        <v>2</v>
      </c>
      <c r="CI60" s="8">
        <v>2</v>
      </c>
      <c r="CJ60" s="8">
        <v>2</v>
      </c>
      <c r="CK60" s="8">
        <v>2</v>
      </c>
      <c r="CL60" s="8">
        <v>2</v>
      </c>
      <c r="CM60" s="8">
        <v>2</v>
      </c>
      <c r="CN60" s="8">
        <v>3</v>
      </c>
      <c r="CO60" s="8">
        <v>2</v>
      </c>
      <c r="CP60" s="8">
        <v>1</v>
      </c>
      <c r="CQ60" s="8">
        <v>1</v>
      </c>
      <c r="CR60" s="8">
        <v>1</v>
      </c>
      <c r="CS60" s="8">
        <v>1</v>
      </c>
      <c r="CT60" s="8">
        <v>1</v>
      </c>
    </row>
    <row r="61" spans="1:98" ht="15" x14ac:dyDescent="0.25">
      <c r="A61" s="19" t="s">
        <v>205</v>
      </c>
      <c r="B61" s="20">
        <v>63</v>
      </c>
      <c r="C61" s="20">
        <v>78</v>
      </c>
      <c r="D61" s="20">
        <v>78</v>
      </c>
      <c r="E61" s="20">
        <v>74.25</v>
      </c>
      <c r="F61" s="17" t="str">
        <f t="shared" si="4"/>
        <v>PASSED</v>
      </c>
      <c r="G61" s="25">
        <v>2.15</v>
      </c>
      <c r="H61" s="21">
        <v>45748</v>
      </c>
      <c r="I61" s="8" t="s">
        <v>103</v>
      </c>
      <c r="J61" s="8" t="s">
        <v>102</v>
      </c>
      <c r="K61" s="38"/>
      <c r="L61" s="8" t="s">
        <v>90</v>
      </c>
      <c r="M61" s="8" t="s">
        <v>97</v>
      </c>
      <c r="N61" s="8" t="s">
        <v>91</v>
      </c>
      <c r="O61" s="38"/>
      <c r="P61" s="8" t="s">
        <v>106</v>
      </c>
      <c r="Q61" s="55" t="s">
        <v>91</v>
      </c>
      <c r="R61" s="56"/>
      <c r="S61" s="8" t="s">
        <v>91</v>
      </c>
      <c r="T61" s="8" t="s">
        <v>101</v>
      </c>
      <c r="U61" s="38"/>
      <c r="V61" s="8" t="s">
        <v>90</v>
      </c>
      <c r="W61" s="8" t="s">
        <v>114</v>
      </c>
      <c r="X61" s="8" t="s">
        <v>91</v>
      </c>
      <c r="Y61" s="38"/>
      <c r="Z61" s="8">
        <v>2</v>
      </c>
      <c r="AA61" s="8">
        <v>1</v>
      </c>
      <c r="AB61" s="8">
        <v>1</v>
      </c>
      <c r="AC61" s="8">
        <v>2</v>
      </c>
      <c r="AD61" s="8">
        <v>2</v>
      </c>
      <c r="AE61" s="8">
        <v>1</v>
      </c>
      <c r="AF61" s="8">
        <v>1</v>
      </c>
      <c r="AG61" s="8">
        <v>1</v>
      </c>
      <c r="AH61" s="8">
        <v>2</v>
      </c>
      <c r="AI61" s="8">
        <v>1</v>
      </c>
      <c r="AJ61" s="8">
        <v>2</v>
      </c>
      <c r="AK61" s="8">
        <v>2</v>
      </c>
      <c r="AL61" s="8">
        <v>2</v>
      </c>
      <c r="AM61" s="8">
        <v>1</v>
      </c>
      <c r="AN61" s="8">
        <v>2</v>
      </c>
      <c r="AO61" s="8">
        <v>2</v>
      </c>
      <c r="AP61" s="8">
        <v>1</v>
      </c>
      <c r="AQ61" s="8">
        <v>2</v>
      </c>
      <c r="AR61" s="8">
        <v>1</v>
      </c>
      <c r="AS61" s="8">
        <v>2</v>
      </c>
      <c r="AT61" s="8">
        <v>1</v>
      </c>
      <c r="AU61" s="8">
        <v>2</v>
      </c>
      <c r="AV61" s="8">
        <v>2</v>
      </c>
      <c r="AW61" s="8">
        <v>1</v>
      </c>
      <c r="AX61" s="8">
        <v>1</v>
      </c>
      <c r="AY61" s="8">
        <v>1</v>
      </c>
      <c r="AZ61" s="8">
        <v>2</v>
      </c>
      <c r="BA61" s="8">
        <v>3</v>
      </c>
      <c r="BB61" s="8">
        <v>3</v>
      </c>
      <c r="BC61" s="8">
        <v>2</v>
      </c>
      <c r="BD61" s="8">
        <v>1</v>
      </c>
      <c r="BE61" s="8">
        <v>1</v>
      </c>
      <c r="BF61" s="8">
        <v>2</v>
      </c>
      <c r="BG61" s="8">
        <v>1</v>
      </c>
      <c r="BH61" s="8">
        <v>2</v>
      </c>
      <c r="BI61" s="8">
        <v>1</v>
      </c>
      <c r="BJ61" s="8">
        <v>1</v>
      </c>
      <c r="BK61" s="8">
        <v>1</v>
      </c>
      <c r="BL61" s="8">
        <v>2</v>
      </c>
      <c r="BM61" s="8">
        <v>1</v>
      </c>
      <c r="BN61" s="8">
        <v>2</v>
      </c>
      <c r="BO61" s="8">
        <v>2</v>
      </c>
      <c r="BP61" s="8">
        <v>1</v>
      </c>
      <c r="BQ61" s="8">
        <v>1</v>
      </c>
      <c r="BR61" s="8">
        <v>2</v>
      </c>
      <c r="BS61" s="8">
        <v>1</v>
      </c>
      <c r="BT61" s="8">
        <v>1</v>
      </c>
      <c r="BU61" s="8">
        <v>1</v>
      </c>
      <c r="BV61" s="8">
        <v>1</v>
      </c>
      <c r="BW61" s="8">
        <v>2</v>
      </c>
      <c r="BX61" s="8">
        <v>1</v>
      </c>
      <c r="BY61" s="8">
        <v>1</v>
      </c>
      <c r="BZ61" s="8">
        <v>1</v>
      </c>
      <c r="CA61" s="8">
        <v>1</v>
      </c>
      <c r="CB61" s="8">
        <v>2</v>
      </c>
      <c r="CC61" s="8">
        <v>2</v>
      </c>
      <c r="CD61" s="8">
        <v>1</v>
      </c>
      <c r="CE61" s="8">
        <v>1</v>
      </c>
      <c r="CF61" s="8">
        <v>2</v>
      </c>
      <c r="CG61" s="8">
        <v>2</v>
      </c>
      <c r="CH61" s="8">
        <v>2</v>
      </c>
      <c r="CI61" s="8">
        <v>3</v>
      </c>
      <c r="CJ61" s="8">
        <v>1</v>
      </c>
      <c r="CK61" s="8">
        <v>2</v>
      </c>
      <c r="CL61" s="8">
        <v>1</v>
      </c>
      <c r="CM61" s="8">
        <v>2</v>
      </c>
      <c r="CN61" s="8">
        <v>2</v>
      </c>
      <c r="CO61" s="8">
        <v>2</v>
      </c>
      <c r="CP61" s="8">
        <v>2</v>
      </c>
      <c r="CQ61" s="8">
        <v>1</v>
      </c>
      <c r="CR61" s="8">
        <v>1</v>
      </c>
      <c r="CS61" s="8">
        <v>2</v>
      </c>
      <c r="CT61" s="8">
        <v>2</v>
      </c>
    </row>
  </sheetData>
  <pageMargins left="0.7" right="0.7" top="0.75" bottom="0.75" header="0.3" footer="0.3"/>
  <tableParts count="4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DATA_MODEL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Randel</cp:lastModifiedBy>
  <dcterms:modified xsi:type="dcterms:W3CDTF">2026-03-19T13:55:21Z</dcterms:modified>
</cp:coreProperties>
</file>